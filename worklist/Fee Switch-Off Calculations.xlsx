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Assumptions" state="visible" r:id="rId5"/>
    <sheet sheetId="3" name="Fee Switch-Off" state="visible" r:id="rId6"/>
    <sheet sheetId="4" name="Process Checks" state="visible" r:id="rId7"/>
    <sheet sheetId="5" name="Split Fee" state="visible" r:id="rId8"/>
    <sheet sheetId="6" name="Latency Budget" state="visible" r:id="rId9"/>
    <sheet sheetId="7" name="Quote Summary" state="visible" r:id="rId10"/>
    <sheet sheetId="8" name="EAC" state="visible" r:id="rId11"/>
  </sheets>
  <calcPr calcId="171027"/>
</workbook>
</file>

<file path=xl/sharedStrings.xml><?xml version="1.0" encoding="utf-8"?>
<sst xmlns="http://schemas.openxmlformats.org/spreadsheetml/2006/main" count="673" uniqueCount="275">
  <si>
    <t>Fee Switch-Off Calculations</t>
  </si>
  <si>
    <t>What this is</t>
  </si>
  <si>
    <t>The numbers behind the S&amp;I SWITCHING OFF FEES SOP, on the same synthetic policies the BaNCS demo uses, so a person (or Seek) can check what BaNCS should show at each step.</t>
  </si>
  <si>
    <t/>
  </si>
  <si>
    <t>Fee Switch-Off</t>
  </si>
  <si>
    <t>Per policy: the VAT Inclusive Asset Advice Fee now, its VAT Exclusive value, the rand a year it costs the client, and the saving once the fee is set to 0.</t>
  </si>
  <si>
    <t>Process Checks</t>
  </si>
  <si>
    <t>Per policy: the SOP's decisions in order. ID check against the work list, error 56000, skip if the fee is already 0.000, and the Legal Verification and acceptance-date actions.</t>
  </si>
  <si>
    <t>Split Fee</t>
  </si>
  <si>
    <t>The split commission SOP: the new VAT Inclusive fee when the staying adviser keeps a given share, for example 0.575 at 50% gives 0.287 and 0.250 exclusive, as in the SOP.</t>
  </si>
  <si>
    <t>Latency Budget</t>
  </si>
  <si>
    <t>Time spent waiting in one full case on the Normal and Stress profiles, and a suggested timeout per step for Seek.</t>
  </si>
  <si>
    <t>Quote Summary</t>
  </si>
  <si>
    <t>What Calculate Premium shows on Endr Quote Summary: the refund (or collection) of the fee for the days left in the fee period, the adviser commission and its clawback. Fee period = previous to next due date; only that period is adjusted.</t>
  </si>
  <si>
    <t>EAC</t>
  </si>
  <si>
    <t>The Effective Annual Cost at the four milestones (years 1, 5, 10 and the term; 1, 3, 5 and the term for a 10-year policy), by Investment, Advice, Admin and Other. Excel FV and RATE on monthly contributions, with and without charges.</t>
  </si>
  <si>
    <t>How to read it</t>
  </si>
  <si>
    <t>Blue figures are inputs (from BaNCS or the work list); yellow cells can be changed to try other values; black figures are formulas. Nothing on a sheet is typed over a formula.</t>
  </si>
  <si>
    <t>VAT</t>
  </si>
  <si>
    <t>VAT Exclusive = VAT Inclusive / 1.15, rounded to 3 decimals, exactly as BaNCS derives it after Save. VAT is set on the Assumptions sheet.</t>
  </si>
  <si>
    <t>Rounding</t>
  </si>
  <si>
    <t>Rand amounts round to 2 decimals and fees to 3, half up. Each ROUND carries a +1E-9 guard so binary noise cannot flip an exact half (84,450 x 1.15% is exactly 971.175 and must show 971.18).</t>
  </si>
  <si>
    <t>Fee units</t>
  </si>
  <si>
    <t>The fee is a percentage a year of the market value (0.575 means 0.575%). ASSUMPTION: confirm with Old Mutual that the asset advice fee is charged as a yearly percentage of market value; if it is not, only the rand columns change.</t>
  </si>
  <si>
    <t>Split rule</t>
  </si>
  <si>
    <t>New VAT Inclusive fee = current fee x the staying adviser's asset advice fee share, rounded DOWN to 3 decimals. This is the build's reading of the SOP's "adjust the fee for the remaining adviser to receive the same fees"; it reproduces the SOP's 0.575 to 0.287.</t>
  </si>
  <si>
    <t>Where it comes from</t>
  </si>
  <si>
    <t>Generated from data-service/seed/seed.json by scripts/build-calcsheet.js (npm run calcsheet). Change the seed, regenerate, and the sheet follows. npm run test:sheet checks the sheet against the running app.</t>
  </si>
  <si>
    <t>Synthetic data</t>
  </si>
  <si>
    <t>Every client, ID number and amount is fictional.</t>
  </si>
  <si>
    <t>Assumptions</t>
  </si>
  <si>
    <t>VAT factor (1 + 15%)</t>
  </si>
  <si>
    <t>South African VAT at 15%. BaNCS shows VAT Exclusive = VAT Inclusive / this.</t>
  </si>
  <si>
    <t>Months in a year</t>
  </si>
  <si>
    <t>Used for the monthly fee.</t>
  </si>
  <si>
    <t>System date</t>
  </si>
  <si>
    <t>04/08/2026</t>
  </si>
  <si>
    <t>The BaNCS system date; an approved quote effective after it blocks a new endorsement (error 56000).</t>
  </si>
  <si>
    <t>Endorsement effective date</t>
  </si>
  <si>
    <t>The date the fee change takes effect on the quote (the BaNCS system date unless a later date is chosen). Drives the refund.</t>
  </si>
  <si>
    <t>Fund charge, LISP (% a year)</t>
  </si>
  <si>
    <t>ASSUMPTION: fund total expense ratio for OMS LISP Investment. Confirm with Old Mutual.</t>
  </si>
  <si>
    <t>Fund charge, TFI II (% a year)</t>
  </si>
  <si>
    <t>ASSUMPTION: fund total expense ratio for OMS TFI II. Confirm with Old Mutual.</t>
  </si>
  <si>
    <t>Platform admin charge (% a year)</t>
  </si>
  <si>
    <t>ASSUMPTION: matches the 0.35 used for the net yield in the data.</t>
  </si>
  <si>
    <t>Initial charge (% of each contribution)</t>
  </si>
  <si>
    <t>From the data: R10.35 off R600.00 (policy A) is 1.725%.</t>
  </si>
  <si>
    <t>Other charges (% a year)</t>
  </si>
  <si>
    <t>Nothing else is charged on these products.</t>
  </si>
  <si>
    <t>Fee Switch-Off: what the client pays now and after the fee is set to 0</t>
  </si>
  <si>
    <t>Blue = from BaNCS. Yellow = change to try another new fee. The saving only counts policies the process will actually change (see Process Checks).</t>
  </si>
  <si>
    <t>Contract No.</t>
  </si>
  <si>
    <t>Client</t>
  </si>
  <si>
    <t>Product</t>
  </si>
  <si>
    <t>Scenario</t>
  </si>
  <si>
    <t>Market value (R)</t>
  </si>
  <si>
    <t>Monthly contribution (R)</t>
  </si>
  <si>
    <t>VAT Inclusive fee now (%)</t>
  </si>
  <si>
    <t>VAT Exclusive fee now (%)</t>
  </si>
  <si>
    <t>Fee a year now (R)</t>
  </si>
  <si>
    <t>Fee a month now (R)</t>
  </si>
  <si>
    <t>New VAT Inclusive fee (%)</t>
  </si>
  <si>
    <t>New VAT Exclusive fee (%)</t>
  </si>
  <si>
    <t>Fee a year after (R)</t>
  </si>
  <si>
    <t>Saving a year (R)</t>
  </si>
  <si>
    <t>Will the process change it?</t>
  </si>
  <si>
    <t>119900001001</t>
  </si>
  <si>
    <t>NOKUTHULA MAHLOBO</t>
  </si>
  <si>
    <t>OMS LISP Investment</t>
  </si>
  <si>
    <t>happy</t>
  </si>
  <si>
    <t>110671307001</t>
  </si>
  <si>
    <t>SIPHO KHUMALO</t>
  </si>
  <si>
    <t>OMS TFI II</t>
  </si>
  <si>
    <t>112333103001</t>
  </si>
  <si>
    <t>THANDEKA ZULU</t>
  </si>
  <si>
    <t>112953094001</t>
  </si>
  <si>
    <t>RIAAN STEYN</t>
  </si>
  <si>
    <t>113162231001</t>
  </si>
  <si>
    <t>AYESHA PATEL</t>
  </si>
  <si>
    <t>113165622001</t>
  </si>
  <si>
    <t>KAGISO MOLEFE</t>
  </si>
  <si>
    <t>113402518001</t>
  </si>
  <si>
    <t>CHARLENE ADAMS</t>
  </si>
  <si>
    <t>113577840001</t>
  </si>
  <si>
    <t>BONGANI MAHLANGU</t>
  </si>
  <si>
    <t>111890254001</t>
  </si>
  <si>
    <t>FATIMA OSMAN</t>
  </si>
  <si>
    <t>112045877001</t>
  </si>
  <si>
    <t>ITUMELENG SELLO</t>
  </si>
  <si>
    <t>112476310001</t>
  </si>
  <si>
    <t>CHANTEL VAN WYK</t>
  </si>
  <si>
    <t>112718459001</t>
  </si>
  <si>
    <t>MPHO DLAMINI</t>
  </si>
  <si>
    <t>113084721001</t>
  </si>
  <si>
    <t>NOMVULA TSHABALALA</t>
  </si>
  <si>
    <t>113290536001</t>
  </si>
  <si>
    <t>DEON BEKKER</t>
  </si>
  <si>
    <t>113690412001</t>
  </si>
  <si>
    <t>NALEDI MOKOENA</t>
  </si>
  <si>
    <t>zero-fee</t>
  </si>
  <si>
    <t>113712955001</t>
  </si>
  <si>
    <t>WERNER COETZEE</t>
  </si>
  <si>
    <t>113845106001</t>
  </si>
  <si>
    <t>ZANELE DUBE</t>
  </si>
  <si>
    <t>113901377001</t>
  </si>
  <si>
    <t>LUNGILE NGCOBO</t>
  </si>
  <si>
    <t>future-endorsement</t>
  </si>
  <si>
    <t>114020658001</t>
  </si>
  <si>
    <t>MEGAN FOURIE</t>
  </si>
  <si>
    <t>open-endorsement</t>
  </si>
  <si>
    <t>114137290001</t>
  </si>
  <si>
    <t>TSHEPO MASEKO</t>
  </si>
  <si>
    <t>id-mismatch</t>
  </si>
  <si>
    <t>114250817001</t>
  </si>
  <si>
    <t>NOMPUMELELO SHABALALA</t>
  </si>
  <si>
    <t>legal-blank</t>
  </si>
  <si>
    <t>114318964001</t>
  </si>
  <si>
    <t>GARETH NAIDOO</t>
  </si>
  <si>
    <t>114561023001</t>
  </si>
  <si>
    <t>BUSISIWE MTHEMBU</t>
  </si>
  <si>
    <t>split</t>
  </si>
  <si>
    <t>114602745001</t>
  </si>
  <si>
    <t>ANDRE DU PLESSIS</t>
  </si>
  <si>
    <t>114688139001</t>
  </si>
  <si>
    <t>PALESA RADEBE</t>
  </si>
  <si>
    <t>114723506001</t>
  </si>
  <si>
    <t>RUBEN PILLAY</t>
  </si>
  <si>
    <t>Total for the policies the process changes</t>
  </si>
  <si>
    <t>Process Checks: the SOP's decisions, in order</t>
  </si>
  <si>
    <t>Order of the checks: (1) ID number against the work list, (2) Endorse/Alter allowed? (error 56000), (3) skip if the fee is already 0.000. Compare Expected outcome with what Seek does.</t>
  </si>
  <si>
    <t>ID number in BaNCS</t>
  </si>
  <si>
    <t>ID number on the work list</t>
  </si>
  <si>
    <t>ID check</t>
  </si>
  <si>
    <t>Endorsement already in progress?</t>
  </si>
  <si>
    <t>What is in progress</t>
  </si>
  <si>
    <t>Legal Verification default</t>
  </si>
  <si>
    <t>Declaration signed (work list)</t>
  </si>
  <si>
    <t>Expected outcome</t>
  </si>
  <si>
    <t>Status path if processed</t>
  </si>
  <si>
    <t>Legal Verification action</t>
  </si>
  <si>
    <t>Acceptance date to enter</t>
  </si>
  <si>
    <t>8609144417086</t>
  </si>
  <si>
    <t>No</t>
  </si>
  <si>
    <t>Approved</t>
  </si>
  <si>
    <t>7903149806083</t>
  </si>
  <si>
    <t>01/08/2026</t>
  </si>
  <si>
    <t>9011220195083</t>
  </si>
  <si>
    <t>(blank)</t>
  </si>
  <si>
    <t>31/07/2026</t>
  </si>
  <si>
    <t>7207025584081</t>
  </si>
  <si>
    <t>03/08/2026</t>
  </si>
  <si>
    <t>8809190973087</t>
  </si>
  <si>
    <t>30/07/2026</t>
  </si>
  <si>
    <t>8305056362085</t>
  </si>
  <si>
    <t>9401271751084</t>
  </si>
  <si>
    <t>7612117140082</t>
  </si>
  <si>
    <t>8108302529089</t>
  </si>
  <si>
    <t>8702177918086</t>
  </si>
  <si>
    <t>7504043307085</t>
  </si>
  <si>
    <t>9612218696089</t>
  </si>
  <si>
    <t>6903094085080</t>
  </si>
  <si>
    <t>8010139474085</t>
  </si>
  <si>
    <t>8704304863086</t>
  </si>
  <si>
    <t>6908165252089</t>
  </si>
  <si>
    <t>9202090641088</t>
  </si>
  <si>
    <t>8106236030083</t>
  </si>
  <si>
    <t>Yes</t>
  </si>
  <si>
    <t>Quote 1139013770010001: FINAL ENDORSEMENT QUOTE, effective 01/11/2026</t>
  </si>
  <si>
    <t>8510031419088</t>
  </si>
  <si>
    <t>Quote 1140206580010001: DRAFT ENDORSEMENT QUOTE</t>
  </si>
  <si>
    <t>8002286808082</t>
  </si>
  <si>
    <t>8002286817083</t>
  </si>
  <si>
    <t>9107122197084</t>
  </si>
  <si>
    <t>7504077586083</t>
  </si>
  <si>
    <t>8401152975084</t>
  </si>
  <si>
    <t>7009218364085</t>
  </si>
  <si>
    <t>8912043753084</t>
  </si>
  <si>
    <t>8605189142084</t>
  </si>
  <si>
    <t>Summary</t>
  </si>
  <si>
    <t>Policies the process will change</t>
  </si>
  <si>
    <t>Skipped: fee already 0.000</t>
  </si>
  <si>
    <t>Stopped: ID mismatch or error 56000</t>
  </si>
  <si>
    <t>Split Fee: the new VAT Inclusive fee when the staying adviser keeps a share</t>
  </si>
  <si>
    <t>Yellow = the staying adviser's asset advice fee share (%). New fee = current fee x share, rounded down to 3 decimals. The first two rows are the SOP's own example and the 60/40 case.</t>
  </si>
  <si>
    <t>Note</t>
  </si>
  <si>
    <t>Staying adviser share (%)</t>
  </si>
  <si>
    <t>Other adviser(s) share (%)</t>
  </si>
  <si>
    <t>Fee a year before (R)</t>
  </si>
  <si>
    <t>Reduction a year (R)</t>
  </si>
  <si>
    <t>SOP example: 50 / 50</t>
  </si>
  <si>
    <t>60 / 40 split</t>
  </si>
  <si>
    <t>Single adviser, split 50 / 50</t>
  </si>
  <si>
    <t>Latency Budget: where a full case spends its time</t>
  </si>
  <si>
    <t>Seconds come from the latency table on the BaNCS login page. Policy search happens twice per case (capture and verification). Suggested timeout = Stress x 1.5, so a bot that gives up earlier than this will fail on a slow day.</t>
  </si>
  <si>
    <t>Step</t>
  </si>
  <si>
    <t>Observed in the recording</t>
  </si>
  <si>
    <t>Normal (s)</t>
  </si>
  <si>
    <t>Stress (s)</t>
  </si>
  <si>
    <t>Times per case</t>
  </si>
  <si>
    <t>Normal total (s)</t>
  </si>
  <si>
    <t>Stress total (s)</t>
  </si>
  <si>
    <t>Suggested timeout (s)</t>
  </si>
  <si>
    <t>Policy search → results</t>
  </si>
  <si>
    <t>A few seconds</t>
  </si>
  <si>
    <t>Endorse/Alter → initiation screen opens</t>
  </si>
  <si>
    <t>Short</t>
  </si>
  <si>
    <t>Save on the initiation screen</t>
  </si>
  <si>
    <t>Noticeable</t>
  </si>
  <si>
    <t>Basic Details SAVE</t>
  </si>
  <si>
    <t>Create or Refresh Layer</t>
  </si>
  <si>
    <t>The longest single wait, around a minute and a half</t>
  </si>
  <si>
    <t>Calculate Premium</t>
  </si>
  <si>
    <t>Around forty seconds</t>
  </si>
  <si>
    <t>End Sub Endorsement</t>
  </si>
  <si>
    <t>Around half a minute</t>
  </si>
  <si>
    <t>Lock EBQ</t>
  </si>
  <si>
    <t>Over a minute</t>
  </si>
  <si>
    <t>Finalise Endorsement</t>
  </si>
  <si>
    <t>Endr Quote Submission → Submit</t>
  </si>
  <si>
    <t>Activate (closed book)</t>
  </si>
  <si>
    <t>One full case</t>
  </si>
  <si>
    <t>In minutes</t>
  </si>
  <si>
    <t>Longest single wait (Stress)</t>
  </si>
  <si>
    <t>Quote Summary: what Calculate Premium shows on Endr Quote Summary</t>
  </si>
  <si>
    <t>The fee refund (or collection), the adviser commission and the clawback, worked out from the fee change on the Fee Switch-Off sheet (its New VAT Inclusive fee column). Same method as BaNCS: see the README sheet and Assumptions.</t>
  </si>
  <si>
    <t>Fee a month before (R)</t>
  </si>
  <si>
    <t>Fee a month after (R)</t>
  </si>
  <si>
    <t>Monthly fee difference (R)</t>
  </si>
  <si>
    <t>Next due date</t>
  </si>
  <si>
    <t>Previous due date</t>
  </si>
  <si>
    <t>Days in fee period</t>
  </si>
  <si>
    <t>Effective date</t>
  </si>
  <si>
    <t>Days left in period</t>
  </si>
  <si>
    <t>Refund to client (R)</t>
  </si>
  <si>
    <t>Collection from client (R)</t>
  </si>
  <si>
    <t>Commission scaling (%)</t>
  </si>
  <si>
    <t>Commission clawback (R)</t>
  </si>
  <si>
    <t>Adviser commission, rest of period (R)</t>
  </si>
  <si>
    <t>Ongoing (AAW) commission (%)</t>
  </si>
  <si>
    <t>Total endorsement premium (R)</t>
  </si>
  <si>
    <t>Commission payable immediately (R)</t>
  </si>
  <si>
    <t>EAC: the Effective Annual Cost at the four milestones on Endr Quote Summary</t>
  </si>
  <si>
    <t>Monthly contributions are projected at the fund's gross growth with and without charges; EAC is the gap between the two annualised returns (Excel FV and RATE, annuity-due). Charges interact slightly, so each component is measured alone and scaled so the components add up to the total.</t>
  </si>
  <si>
    <t>Milestone</t>
  </si>
  <si>
    <t>Years</t>
  </si>
  <si>
    <t>Term (months)</t>
  </si>
  <si>
    <t>Months to milestone</t>
  </si>
  <si>
    <t>Gross growth (% a year)</t>
  </si>
  <si>
    <t>Fund charge (%)</t>
  </si>
  <si>
    <t>Advice fee after, VAT incl (%)</t>
  </si>
  <si>
    <t>Admin charge (%)</t>
  </si>
  <si>
    <t>Initial charge (%)</t>
  </si>
  <si>
    <t>Other (%)</t>
  </si>
  <si>
    <t>All: net growth</t>
  </si>
  <si>
    <t>All: final value (R)</t>
  </si>
  <si>
    <t>All: IRR</t>
  </si>
  <si>
    <t>All: EAC (pts)</t>
  </si>
  <si>
    <t>Fund: net growth</t>
  </si>
  <si>
    <t>Fund: final value (R)</t>
  </si>
  <si>
    <t>Fund: IRR</t>
  </si>
  <si>
    <t>Fund: EAC (pts)</t>
  </si>
  <si>
    <t>Advice: net growth</t>
  </si>
  <si>
    <t>Advice: final value (R)</t>
  </si>
  <si>
    <t>Advice: IRR</t>
  </si>
  <si>
    <t>Advice: EAC (pts)</t>
  </si>
  <si>
    <t>Admin: net growth</t>
  </si>
  <si>
    <t>Admin: final value (R)</t>
  </si>
  <si>
    <t>Admin: IRR</t>
  </si>
  <si>
    <t>Admin: EAC (pts)</t>
  </si>
  <si>
    <t>Sum of components</t>
  </si>
  <si>
    <t>Investment</t>
  </si>
  <si>
    <t>Advice</t>
  </si>
  <si>
    <t>Admin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</si>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</sst>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yy"/>
    <numFmt numFmtId="165" formatCode="0.000"/>
    <numFmt numFmtId="166" formatCode="0.0"/>
    <numFmt numFmtId="167" formatCode="0.00000"/>
    <numFmt numFmtId="168" formatCode="0.0000"/>
  </numFmts>
  <fonts count="8" x14ac:knownFonts="1">
    <font>
      <color theme="1"/>
      <family val="2"/>
      <scheme val="minor"/>
      <sz val="11"/>
      <name val="Calibri"/>
    </font>
    <font>
      <b/>
      <color rgb="FF1F3864"/>
      <sz val="16"/>
      <name val="Calibri"/>
    </font>
    <font>
      <b/>
      <sz val="11"/>
      <name val="Calibri"/>
    </font>
    <font>
      <sz val="11"/>
      <name val="Calibri"/>
    </font>
    <font>
      <b/>
      <color rgb="FF1F3864"/>
      <sz val="14"/>
      <name val="Calibri"/>
    </font>
    <font>
      <color rgb="FF0000FF"/>
      <sz val="11"/>
      <name val="Calibri"/>
    </font>
    <font>
      <i/>
      <color rgb="FF595959"/>
      <sz val="10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1" xfId="0" applyFont="1" applyBorder="1"/>
    <xf numFmtId="0" fontId="5" fillId="2" borderId="1" xfId="0" applyFont="1" applyFill="1" applyBorder="1"/>
    <xf numFmtId="0" fontId="6" fillId="0" borderId="0" xfId="0" applyFont="1"/>
    <xf numFmtId="164" fontId="5" fillId="2" borderId="1" xfId="0" applyNumberFormat="1" applyFont="1" applyFill="1" applyBorder="1"/>
    <xf numFmtId="2" fontId="5" fillId="2" borderId="1" xfId="0" applyNumberFormat="1" applyFont="1" applyFill="1" applyBorder="1"/>
    <xf numFmtId="165" fontId="5" fillId="2" borderId="1" xfId="0" applyNumberFormat="1" applyFont="1" applyFill="1" applyBorder="1"/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5" fillId="0" borderId="1" xfId="0" applyFont="1" applyBorder="1"/>
    <xf numFmtId="4" fontId="5" fillId="0" borderId="1" xfId="0" applyNumberFormat="1" applyFont="1" applyBorder="1"/>
    <xf numFmtId="165" fontId="5" fillId="0" borderId="1" xfId="0" applyNumberFormat="1" applyFont="1" applyBorder="1"/>
    <xf numFmtId="165" fontId="3" fillId="0" borderId="1" xfId="0" applyNumberFormat="1" applyFont="1" applyBorder="1"/>
    <xf numFmtId="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2" fontId="3" fillId="0" borderId="1" xfId="0" applyNumberFormat="1" applyFont="1" applyBorder="1"/>
    <xf numFmtId="1" fontId="5" fillId="0" borderId="1" xfId="0" applyNumberFormat="1" applyFont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5" fillId="0" borderId="1" xfId="0" applyNumberFormat="1" applyFont="1" applyBorder="1"/>
    <xf numFmtId="164" fontId="3" fillId="0" borderId="1" xfId="0" applyNumberFormat="1" applyFont="1" applyBorder="1"/>
    <xf numFmtId="2" fontId="5" fillId="0" borderId="1" xfId="0" applyNumberFormat="1" applyFont="1" applyBorder="1"/>
    <xf numFmtId="167" fontId="3" fillId="0" borderId="1" xfId="0" applyNumberFormat="1" applyFont="1" applyBorder="1"/>
    <xf numFmtId="168" fontId="3" fillId="0" borderId="1" xfId="0" applyNumberFormat="1" applyFont="1" applyBorder="1"/>
    <xf numFmtId="2" fontId="2" fillId="0" borderId="1" xfId="0" applyNumberFormat="1" applyFont="1" applyBorder="1"/>
  </cellXfs>
  <cellStyles count="1">
    <cellStyle name="Normal" xfId="0" builtinId="0"/>
  </cellStyles>
  <dxfs count="3"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B17"/>
  <sheetFormatPr defaultRowHeight="15" outlineLevelRow="0" outlineLevelCol="0" x14ac:dyDescent="55"/>
  <cols>
    <col min="1" max="1" width="30" customWidth="1"/>
    <col min="2" max="2" width="11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3</v>
      </c>
      <c r="B10" s="3" t="s">
        <v>3</v>
      </c>
    </row>
    <row r="11" spans="1:2" x14ac:dyDescent="0.25">
      <c r="A11" s="2" t="s">
        <v>16</v>
      </c>
      <c r="B11" s="3" t="s">
        <v>17</v>
      </c>
    </row>
    <row r="12" spans="1:2" x14ac:dyDescent="0.25">
      <c r="A12" s="2" t="s">
        <v>18</v>
      </c>
      <c r="B12" s="3" t="s">
        <v>19</v>
      </c>
    </row>
    <row r="13" spans="1:2" x14ac:dyDescent="0.25">
      <c r="A13" s="2" t="s">
        <v>20</v>
      </c>
      <c r="B13" s="3" t="s">
        <v>21</v>
      </c>
    </row>
    <row r="14" spans="1:2" x14ac:dyDescent="0.25">
      <c r="A14" s="2" t="s">
        <v>22</v>
      </c>
      <c r="B14" s="3" t="s">
        <v>23</v>
      </c>
    </row>
    <row r="15" spans="1:2" x14ac:dyDescent="0.25">
      <c r="A15" s="2" t="s">
        <v>24</v>
      </c>
      <c r="B15" s="3" t="s">
        <v>25</v>
      </c>
    </row>
    <row r="16" spans="1:2" x14ac:dyDescent="0.25">
      <c r="A16" s="2" t="s">
        <v>26</v>
      </c>
      <c r="B16" s="3" t="s">
        <v>27</v>
      </c>
    </row>
    <row r="17" spans="1:2" x14ac:dyDescent="0.25">
      <c r="A17" s="2" t="s">
        <v>28</v>
      </c>
      <c r="B17" s="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44" customWidth="1"/>
    <col min="2" max="2" width="14" customWidth="1"/>
    <col min="3" max="3" width="70" customWidth="1"/>
  </cols>
  <sheetData>
    <row r="1" spans="1:1" x14ac:dyDescent="0.25">
      <c r="A1" s="4" t="s">
        <v>30</v>
      </c>
    </row>
    <row r="3" spans="1:3" x14ac:dyDescent="0.25">
      <c r="A3" s="5" t="s">
        <v>31</v>
      </c>
      <c r="B3" s="6">
        <v>1.15</v>
      </c>
      <c r="C3" s="7" t="s">
        <v>32</v>
      </c>
    </row>
    <row r="4" spans="1:3" x14ac:dyDescent="0.25">
      <c r="A4" s="5" t="s">
        <v>33</v>
      </c>
      <c r="B4" s="6">
        <v>12</v>
      </c>
      <c r="C4" s="7" t="s">
        <v>34</v>
      </c>
    </row>
    <row r="5" spans="1:3" x14ac:dyDescent="0.25">
      <c r="A5" s="5" t="s">
        <v>35</v>
      </c>
      <c r="B5" s="6" t="s">
        <v>36</v>
      </c>
      <c r="C5" s="7" t="s">
        <v>37</v>
      </c>
    </row>
    <row r="6" spans="1:3" x14ac:dyDescent="0.25">
      <c r="A6" s="5" t="s">
        <v>38</v>
      </c>
      <c r="B6" s="8">
        <v>46238</v>
      </c>
      <c r="C6" s="7" t="s">
        <v>39</v>
      </c>
    </row>
    <row r="7" spans="1:3" x14ac:dyDescent="0.25">
      <c r="A7" s="5" t="s">
        <v>40</v>
      </c>
      <c r="B7" s="9">
        <v>0.85</v>
      </c>
      <c r="C7" s="7" t="s">
        <v>41</v>
      </c>
    </row>
    <row r="8" spans="1:3" x14ac:dyDescent="0.25">
      <c r="A8" s="5" t="s">
        <v>42</v>
      </c>
      <c r="B8" s="9">
        <v>0.7</v>
      </c>
      <c r="C8" s="7" t="s">
        <v>43</v>
      </c>
    </row>
    <row r="9" spans="1:3" x14ac:dyDescent="0.25">
      <c r="A9" s="5" t="s">
        <v>44</v>
      </c>
      <c r="B9" s="9">
        <v>0.35</v>
      </c>
      <c r="C9" s="7" t="s">
        <v>45</v>
      </c>
    </row>
    <row r="10" spans="1:3" x14ac:dyDescent="0.25">
      <c r="A10" s="5" t="s">
        <v>46</v>
      </c>
      <c r="B10" s="10">
        <v>1.725</v>
      </c>
      <c r="C10" s="7" t="s">
        <v>47</v>
      </c>
    </row>
    <row r="11" spans="1:3" x14ac:dyDescent="0.25">
      <c r="A11" s="5" t="s">
        <v>48</v>
      </c>
      <c r="B11" s="9">
        <v>0</v>
      </c>
      <c r="C11" s="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O32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24" customWidth="1"/>
    <col min="3" max="3" width="20" customWidth="1"/>
    <col min="4" max="4" width="18" customWidth="1"/>
    <col min="5" max="6" width="15" customWidth="1"/>
    <col min="7" max="8" width="14" customWidth="1"/>
    <col min="9" max="9" width="15" customWidth="1"/>
    <col min="10" max="12" width="14" customWidth="1"/>
    <col min="13" max="14" width="15" customWidth="1"/>
    <col min="15" max="15" width="16" customWidth="1"/>
  </cols>
  <sheetData>
    <row r="1" spans="1:1" x14ac:dyDescent="0.25">
      <c r="A1" s="4" t="s">
        <v>50</v>
      </c>
    </row>
    <row r="2" spans="1:1" x14ac:dyDescent="0.25">
      <c r="A2" s="7" t="s">
        <v>51</v>
      </c>
    </row>
    <row r="4" ht="48" customHeight="1" spans="1:15" x14ac:dyDescent="0.25">
      <c r="A4" s="11" t="s">
        <v>52</v>
      </c>
      <c r="B4" s="11" t="s">
        <v>53</v>
      </c>
      <c r="C4" s="11" t="s">
        <v>54</v>
      </c>
      <c r="D4" s="11" t="s">
        <v>55</v>
      </c>
      <c r="E4" s="12" t="s">
        <v>56</v>
      </c>
      <c r="F4" s="12" t="s">
        <v>57</v>
      </c>
      <c r="G4" s="12" t="s">
        <v>58</v>
      </c>
      <c r="H4" s="12" t="s">
        <v>59</v>
      </c>
      <c r="I4" s="12" t="s">
        <v>60</v>
      </c>
      <c r="J4" s="12" t="s">
        <v>61</v>
      </c>
      <c r="K4" s="12" t="s">
        <v>62</v>
      </c>
      <c r="L4" s="12" t="s">
        <v>63</v>
      </c>
      <c r="M4" s="12" t="s">
        <v>64</v>
      </c>
      <c r="N4" s="12" t="s">
        <v>65</v>
      </c>
      <c r="O4" s="12" t="s">
        <v>66</v>
      </c>
    </row>
    <row r="5" spans="1:15" x14ac:dyDescent="0.25">
      <c r="A5" s="13" t="s">
        <v>67</v>
      </c>
      <c r="B5" s="13" t="s">
        <v>68</v>
      </c>
      <c r="C5" s="13" t="s">
        <v>69</v>
      </c>
      <c r="D5" s="13" t="s">
        <v>70</v>
      </c>
      <c r="E5" s="14">
        <v>4323.48</v>
      </c>
      <c r="F5" s="14">
        <v>600</v>
      </c>
      <c r="G5" s="15">
        <v>0.575</v>
      </c>
      <c r="H5" s="16">
        <f>ROUND(G5/Assumptions!$B$3+1E-9,3)</f>
        <v>0.5</v>
      </c>
      <c r="I5" s="17">
        <f>ROUND(E5*G5/100+1E-9,2)</f>
        <v>24.86</v>
      </c>
      <c r="J5" s="17">
        <f>ROUND(I5/Assumptions!$B$4+1E-9,2)</f>
        <v>2.07</v>
      </c>
      <c r="K5" s="10">
        <v>0</v>
      </c>
      <c r="L5" s="16">
        <f>ROUND(K5/Assumptions!$B$3+1E-9,3)</f>
        <v>0</v>
      </c>
      <c r="M5" s="17">
        <f>ROUND(E5*K5/100+1E-9,2)</f>
        <v>0</v>
      </c>
      <c r="N5" s="17">
        <f>I5-M5</f>
        <v>24.86</v>
      </c>
      <c r="O5" s="18" t="str">
        <f>IF(LEFT(INDEX('Process Checks'!$K$5:$K$30,MATCH($A5,'Process Checks'!$A$5:$A$30,0)),7)="PROCEED","Yes","No")</f>
        <v>Yes</v>
      </c>
    </row>
    <row r="6" spans="1:15" x14ac:dyDescent="0.25">
      <c r="A6" s="13" t="s">
        <v>71</v>
      </c>
      <c r="B6" s="13" t="s">
        <v>72</v>
      </c>
      <c r="C6" s="13" t="s">
        <v>73</v>
      </c>
      <c r="D6" s="13" t="s">
        <v>70</v>
      </c>
      <c r="E6" s="14">
        <v>84450</v>
      </c>
      <c r="F6" s="14">
        <v>2500</v>
      </c>
      <c r="G6" s="15">
        <v>1.15</v>
      </c>
      <c r="H6" s="16">
        <f>ROUND(G6/Assumptions!$B$3+1E-9,3)</f>
        <v>1</v>
      </c>
      <c r="I6" s="17">
        <f>ROUND(E6*G6/100+1E-9,2)</f>
        <v>971.18</v>
      </c>
      <c r="J6" s="17">
        <f>ROUND(I6/Assumptions!$B$4+1E-9,2)</f>
        <v>80.93</v>
      </c>
      <c r="K6" s="10">
        <v>0</v>
      </c>
      <c r="L6" s="16">
        <f>ROUND(K6/Assumptions!$B$3+1E-9,3)</f>
        <v>0</v>
      </c>
      <c r="M6" s="17">
        <f>ROUND(E6*K6/100+1E-9,2)</f>
        <v>0</v>
      </c>
      <c r="N6" s="17">
        <f>I6-M6</f>
        <v>971.18</v>
      </c>
      <c r="O6" s="18" t="str">
        <f>IF(LEFT(INDEX('Process Checks'!$K$5:$K$30,MATCH($A6,'Process Checks'!$A$5:$A$30,0)),7)="PROCEED","Yes","No")</f>
        <v>Yes</v>
      </c>
    </row>
    <row r="7" spans="1:15" x14ac:dyDescent="0.25">
      <c r="A7" s="13" t="s">
        <v>74</v>
      </c>
      <c r="B7" s="13" t="s">
        <v>75</v>
      </c>
      <c r="C7" s="13" t="s">
        <v>69</v>
      </c>
      <c r="D7" s="13" t="s">
        <v>70</v>
      </c>
      <c r="E7" s="14">
        <v>36074.16</v>
      </c>
      <c r="F7" s="14">
        <v>1200</v>
      </c>
      <c r="G7" s="15">
        <v>0.863</v>
      </c>
      <c r="H7" s="16">
        <f>ROUND(G7/Assumptions!$B$3+1E-9,3)</f>
        <v>0.75</v>
      </c>
      <c r="I7" s="17">
        <f>ROUND(E7*G7/100+1E-9,2)</f>
        <v>311.32</v>
      </c>
      <c r="J7" s="17">
        <f>ROUND(I7/Assumptions!$B$4+1E-9,2)</f>
        <v>25.94</v>
      </c>
      <c r="K7" s="10">
        <v>0</v>
      </c>
      <c r="L7" s="16">
        <f>ROUND(K7/Assumptions!$B$3+1E-9,3)</f>
        <v>0</v>
      </c>
      <c r="M7" s="17">
        <f>ROUND(E7*K7/100+1E-9,2)</f>
        <v>0</v>
      </c>
      <c r="N7" s="17">
        <f>I7-M7</f>
        <v>311.32</v>
      </c>
      <c r="O7" s="18" t="str">
        <f>IF(LEFT(INDEX('Process Checks'!$K$5:$K$30,MATCH($A7,'Process Checks'!$A$5:$A$30,0)),7)="PROCEED","Yes","No")</f>
        <v>Yes</v>
      </c>
    </row>
    <row r="8" spans="1:15" x14ac:dyDescent="0.25">
      <c r="A8" s="13" t="s">
        <v>76</v>
      </c>
      <c r="B8" s="13" t="s">
        <v>77</v>
      </c>
      <c r="C8" s="13" t="s">
        <v>73</v>
      </c>
      <c r="D8" s="13" t="s">
        <v>70</v>
      </c>
      <c r="E8" s="14">
        <v>75665.4</v>
      </c>
      <c r="F8" s="14">
        <v>3000</v>
      </c>
      <c r="G8" s="15">
        <v>0.575</v>
      </c>
      <c r="H8" s="16">
        <f>ROUND(G8/Assumptions!$B$3+1E-9,3)</f>
        <v>0.5</v>
      </c>
      <c r="I8" s="17">
        <f>ROUND(E8*G8/100+1E-9,2)</f>
        <v>435.08</v>
      </c>
      <c r="J8" s="17">
        <f>ROUND(I8/Assumptions!$B$4+1E-9,2)</f>
        <v>36.26</v>
      </c>
      <c r="K8" s="10">
        <v>0</v>
      </c>
      <c r="L8" s="16">
        <f>ROUND(K8/Assumptions!$B$3+1E-9,3)</f>
        <v>0</v>
      </c>
      <c r="M8" s="17">
        <f>ROUND(E8*K8/100+1E-9,2)</f>
        <v>0</v>
      </c>
      <c r="N8" s="17">
        <f>I8-M8</f>
        <v>435.08</v>
      </c>
      <c r="O8" s="18" t="str">
        <f>IF(LEFT(INDEX('Process Checks'!$K$5:$K$30,MATCH($A8,'Process Checks'!$A$5:$A$30,0)),7)="PROCEED","Yes","No")</f>
        <v>Yes</v>
      </c>
    </row>
    <row r="9" spans="1:15" x14ac:dyDescent="0.25">
      <c r="A9" s="13" t="s">
        <v>78</v>
      </c>
      <c r="B9" s="13" t="s">
        <v>79</v>
      </c>
      <c r="C9" s="13" t="s">
        <v>69</v>
      </c>
      <c r="D9" s="13" t="s">
        <v>70</v>
      </c>
      <c r="E9" s="14">
        <v>92322.9</v>
      </c>
      <c r="F9" s="14">
        <v>4500</v>
      </c>
      <c r="G9" s="15">
        <v>1.438</v>
      </c>
      <c r="H9" s="16">
        <f>ROUND(G9/Assumptions!$B$3+1E-9,3)</f>
        <v>1.25</v>
      </c>
      <c r="I9" s="17">
        <f>ROUND(E9*G9/100+1E-9,2)</f>
        <v>1327.6</v>
      </c>
      <c r="J9" s="17">
        <f>ROUND(I9/Assumptions!$B$4+1E-9,2)</f>
        <v>110.63</v>
      </c>
      <c r="K9" s="10">
        <v>0</v>
      </c>
      <c r="L9" s="16">
        <f>ROUND(K9/Assumptions!$B$3+1E-9,3)</f>
        <v>0</v>
      </c>
      <c r="M9" s="17">
        <f>ROUND(E9*K9/100+1E-9,2)</f>
        <v>0</v>
      </c>
      <c r="N9" s="17">
        <f>I9-M9</f>
        <v>1327.6</v>
      </c>
      <c r="O9" s="18" t="str">
        <f>IF(LEFT(INDEX('Process Checks'!$K$5:$K$30,MATCH($A9,'Process Checks'!$A$5:$A$30,0)),7)="PROCEED","Yes","No")</f>
        <v>Yes</v>
      </c>
    </row>
    <row r="10" spans="1:15" x14ac:dyDescent="0.25">
      <c r="A10" s="13" t="s">
        <v>80</v>
      </c>
      <c r="B10" s="13" t="s">
        <v>81</v>
      </c>
      <c r="C10" s="13" t="s">
        <v>69</v>
      </c>
      <c r="D10" s="13" t="s">
        <v>70</v>
      </c>
      <c r="E10" s="14">
        <v>30774.3</v>
      </c>
      <c r="F10" s="14">
        <v>1500</v>
      </c>
      <c r="G10" s="15">
        <v>1.15</v>
      </c>
      <c r="H10" s="16">
        <f>ROUND(G10/Assumptions!$B$3+1E-9,3)</f>
        <v>1</v>
      </c>
      <c r="I10" s="17">
        <f>ROUND(E10*G10/100+1E-9,2)</f>
        <v>353.9</v>
      </c>
      <c r="J10" s="17">
        <f>ROUND(I10/Assumptions!$B$4+1E-9,2)</f>
        <v>29.49</v>
      </c>
      <c r="K10" s="10">
        <v>0</v>
      </c>
      <c r="L10" s="16">
        <f>ROUND(K10/Assumptions!$B$3+1E-9,3)</f>
        <v>0</v>
      </c>
      <c r="M10" s="17">
        <f>ROUND(E10*K10/100+1E-9,2)</f>
        <v>0</v>
      </c>
      <c r="N10" s="17">
        <f>I10-M10</f>
        <v>353.9</v>
      </c>
      <c r="O10" s="18" t="str">
        <f>IF(LEFT(INDEX('Process Checks'!$K$5:$K$30,MATCH($A10,'Process Checks'!$A$5:$A$30,0)),7)="PROCEED","Yes","No")</f>
        <v>Yes</v>
      </c>
    </row>
    <row r="11" spans="1:15" x14ac:dyDescent="0.25">
      <c r="A11" s="13" t="s">
        <v>82</v>
      </c>
      <c r="B11" s="13" t="s">
        <v>83</v>
      </c>
      <c r="C11" s="13" t="s">
        <v>73</v>
      </c>
      <c r="D11" s="13" t="s">
        <v>70</v>
      </c>
      <c r="E11" s="14">
        <v>18213.8</v>
      </c>
      <c r="F11" s="14">
        <v>1000</v>
      </c>
      <c r="G11" s="15">
        <v>0.69</v>
      </c>
      <c r="H11" s="16">
        <f>ROUND(G11/Assumptions!$B$3+1E-9,3)</f>
        <v>0.6</v>
      </c>
      <c r="I11" s="17">
        <f>ROUND(E11*G11/100+1E-9,2)</f>
        <v>125.68</v>
      </c>
      <c r="J11" s="17">
        <f>ROUND(I11/Assumptions!$B$4+1E-9,2)</f>
        <v>10.47</v>
      </c>
      <c r="K11" s="10">
        <v>0</v>
      </c>
      <c r="L11" s="16">
        <f>ROUND(K11/Assumptions!$B$3+1E-9,3)</f>
        <v>0</v>
      </c>
      <c r="M11" s="17">
        <f>ROUND(E11*K11/100+1E-9,2)</f>
        <v>0</v>
      </c>
      <c r="N11" s="17">
        <f>I11-M11</f>
        <v>125.68</v>
      </c>
      <c r="O11" s="18" t="str">
        <f>IF(LEFT(INDEX('Process Checks'!$K$5:$K$30,MATCH($A11,'Process Checks'!$A$5:$A$30,0)),7)="PROCEED","Yes","No")</f>
        <v>Yes</v>
      </c>
    </row>
    <row r="12" spans="1:15" x14ac:dyDescent="0.25">
      <c r="A12" s="13" t="s">
        <v>84</v>
      </c>
      <c r="B12" s="13" t="s">
        <v>85</v>
      </c>
      <c r="C12" s="13" t="s">
        <v>69</v>
      </c>
      <c r="D12" s="13" t="s">
        <v>70</v>
      </c>
      <c r="E12" s="14">
        <v>29646.4</v>
      </c>
      <c r="F12" s="14">
        <v>2000</v>
      </c>
      <c r="G12" s="15">
        <v>1.035</v>
      </c>
      <c r="H12" s="16">
        <f>ROUND(G12/Assumptions!$B$3+1E-9,3)</f>
        <v>0.9</v>
      </c>
      <c r="I12" s="17">
        <f>ROUND(E12*G12/100+1E-9,2)</f>
        <v>306.84</v>
      </c>
      <c r="J12" s="17">
        <f>ROUND(I12/Assumptions!$B$4+1E-9,2)</f>
        <v>25.57</v>
      </c>
      <c r="K12" s="10">
        <v>0</v>
      </c>
      <c r="L12" s="16">
        <f>ROUND(K12/Assumptions!$B$3+1E-9,3)</f>
        <v>0</v>
      </c>
      <c r="M12" s="17">
        <f>ROUND(E12*K12/100+1E-9,2)</f>
        <v>0</v>
      </c>
      <c r="N12" s="17">
        <f>I12-M12</f>
        <v>306.84</v>
      </c>
      <c r="O12" s="18" t="str">
        <f>IF(LEFT(INDEX('Process Checks'!$K$5:$K$30,MATCH($A12,'Process Checks'!$A$5:$A$30,0)),7)="PROCEED","Yes","No")</f>
        <v>Yes</v>
      </c>
    </row>
    <row r="13" spans="1:15" x14ac:dyDescent="0.25">
      <c r="A13" s="13" t="s">
        <v>86</v>
      </c>
      <c r="B13" s="13" t="s">
        <v>87</v>
      </c>
      <c r="C13" s="13" t="s">
        <v>69</v>
      </c>
      <c r="D13" s="13" t="s">
        <v>70</v>
      </c>
      <c r="E13" s="14">
        <v>149814</v>
      </c>
      <c r="F13" s="14">
        <v>2800</v>
      </c>
      <c r="G13" s="15">
        <v>0.46</v>
      </c>
      <c r="H13" s="16">
        <f>ROUND(G13/Assumptions!$B$3+1E-9,3)</f>
        <v>0.4</v>
      </c>
      <c r="I13" s="17">
        <f>ROUND(E13*G13/100+1E-9,2)</f>
        <v>689.14</v>
      </c>
      <c r="J13" s="17">
        <f>ROUND(I13/Assumptions!$B$4+1E-9,2)</f>
        <v>57.43</v>
      </c>
      <c r="K13" s="10">
        <v>0</v>
      </c>
      <c r="L13" s="16">
        <f>ROUND(K13/Assumptions!$B$3+1E-9,3)</f>
        <v>0</v>
      </c>
      <c r="M13" s="17">
        <f>ROUND(E13*K13/100+1E-9,2)</f>
        <v>0</v>
      </c>
      <c r="N13" s="17">
        <f>I13-M13</f>
        <v>689.14</v>
      </c>
      <c r="O13" s="18" t="str">
        <f>IF(LEFT(INDEX('Process Checks'!$K$5:$K$30,MATCH($A13,'Process Checks'!$A$5:$A$30,0)),7)="PROCEED","Yes","No")</f>
        <v>Yes</v>
      </c>
    </row>
    <row r="14" spans="1:15" x14ac:dyDescent="0.25">
      <c r="A14" s="13" t="s">
        <v>88</v>
      </c>
      <c r="B14" s="13" t="s">
        <v>89</v>
      </c>
      <c r="C14" s="13" t="s">
        <v>73</v>
      </c>
      <c r="D14" s="13" t="s">
        <v>70</v>
      </c>
      <c r="E14" s="14">
        <v>88935.84</v>
      </c>
      <c r="F14" s="14">
        <v>1800</v>
      </c>
      <c r="G14" s="15">
        <v>0.92</v>
      </c>
      <c r="H14" s="16">
        <f>ROUND(G14/Assumptions!$B$3+1E-9,3)</f>
        <v>0.8</v>
      </c>
      <c r="I14" s="17">
        <f>ROUND(E14*G14/100+1E-9,2)</f>
        <v>818.21</v>
      </c>
      <c r="J14" s="17">
        <f>ROUND(I14/Assumptions!$B$4+1E-9,2)</f>
        <v>68.18</v>
      </c>
      <c r="K14" s="10">
        <v>0</v>
      </c>
      <c r="L14" s="16">
        <f>ROUND(K14/Assumptions!$B$3+1E-9,3)</f>
        <v>0</v>
      </c>
      <c r="M14" s="17">
        <f>ROUND(E14*K14/100+1E-9,2)</f>
        <v>0</v>
      </c>
      <c r="N14" s="17">
        <f>I14-M14</f>
        <v>818.21</v>
      </c>
      <c r="O14" s="18" t="str">
        <f>IF(LEFT(INDEX('Process Checks'!$K$5:$K$30,MATCH($A14,'Process Checks'!$A$5:$A$30,0)),7)="PROCEED","Yes","No")</f>
        <v>Yes</v>
      </c>
    </row>
    <row r="15" spans="1:15" x14ac:dyDescent="0.25">
      <c r="A15" s="13" t="s">
        <v>90</v>
      </c>
      <c r="B15" s="13" t="s">
        <v>91</v>
      </c>
      <c r="C15" s="13" t="s">
        <v>69</v>
      </c>
      <c r="D15" s="13" t="s">
        <v>70</v>
      </c>
      <c r="E15" s="14">
        <v>140507.5</v>
      </c>
      <c r="F15" s="14">
        <v>3500</v>
      </c>
      <c r="G15" s="15">
        <v>1.725</v>
      </c>
      <c r="H15" s="16">
        <f>ROUND(G15/Assumptions!$B$3+1E-9,3)</f>
        <v>1.5</v>
      </c>
      <c r="I15" s="17">
        <f>ROUND(E15*G15/100+1E-9,2)</f>
        <v>2423.75</v>
      </c>
      <c r="J15" s="17">
        <f>ROUND(I15/Assumptions!$B$4+1E-9,2)</f>
        <v>201.98</v>
      </c>
      <c r="K15" s="10">
        <v>0</v>
      </c>
      <c r="L15" s="16">
        <f>ROUND(K15/Assumptions!$B$3+1E-9,3)</f>
        <v>0</v>
      </c>
      <c r="M15" s="17">
        <f>ROUND(E15*K15/100+1E-9,2)</f>
        <v>0</v>
      </c>
      <c r="N15" s="17">
        <f>I15-M15</f>
        <v>2423.75</v>
      </c>
      <c r="O15" s="18" t="str">
        <f>IF(LEFT(INDEX('Process Checks'!$K$5:$K$30,MATCH($A15,'Process Checks'!$A$5:$A$30,0)),7)="PROCEED","Yes","No")</f>
        <v>Yes</v>
      </c>
    </row>
    <row r="16" spans="1:15" x14ac:dyDescent="0.25">
      <c r="A16" s="13" t="s">
        <v>92</v>
      </c>
      <c r="B16" s="13" t="s">
        <v>93</v>
      </c>
      <c r="C16" s="13" t="s">
        <v>73</v>
      </c>
      <c r="D16" s="13" t="s">
        <v>70</v>
      </c>
      <c r="E16" s="14">
        <v>21021.72</v>
      </c>
      <c r="F16" s="14">
        <v>600</v>
      </c>
      <c r="G16" s="15">
        <v>0.345</v>
      </c>
      <c r="H16" s="16">
        <f>ROUND(G16/Assumptions!$B$3+1E-9,3)</f>
        <v>0.3</v>
      </c>
      <c r="I16" s="17">
        <f>ROUND(E16*G16/100+1E-9,2)</f>
        <v>72.52</v>
      </c>
      <c r="J16" s="17">
        <f>ROUND(I16/Assumptions!$B$4+1E-9,2)</f>
        <v>6.04</v>
      </c>
      <c r="K16" s="10">
        <v>0</v>
      </c>
      <c r="L16" s="16">
        <f>ROUND(K16/Assumptions!$B$3+1E-9,3)</f>
        <v>0</v>
      </c>
      <c r="M16" s="17">
        <f>ROUND(E16*K16/100+1E-9,2)</f>
        <v>0</v>
      </c>
      <c r="N16" s="17">
        <f>I16-M16</f>
        <v>72.52</v>
      </c>
      <c r="O16" s="18" t="str">
        <f>IF(LEFT(INDEX('Process Checks'!$K$5:$K$30,MATCH($A16,'Process Checks'!$A$5:$A$30,0)),7)="PROCEED","Yes","No")</f>
        <v>Yes</v>
      </c>
    </row>
    <row r="17" spans="1:15" x14ac:dyDescent="0.25">
      <c r="A17" s="13" t="s">
        <v>94</v>
      </c>
      <c r="B17" s="13" t="s">
        <v>95</v>
      </c>
      <c r="C17" s="13" t="s">
        <v>69</v>
      </c>
      <c r="D17" s="13" t="s">
        <v>70</v>
      </c>
      <c r="E17" s="14">
        <v>132096</v>
      </c>
      <c r="F17" s="14">
        <v>5000</v>
      </c>
      <c r="G17" s="15">
        <v>0.805</v>
      </c>
      <c r="H17" s="16">
        <f>ROUND(G17/Assumptions!$B$3+1E-9,3)</f>
        <v>0.7</v>
      </c>
      <c r="I17" s="17">
        <f>ROUND(E17*G17/100+1E-9,2)</f>
        <v>1063.37</v>
      </c>
      <c r="J17" s="17">
        <f>ROUND(I17/Assumptions!$B$4+1E-9,2)</f>
        <v>88.61</v>
      </c>
      <c r="K17" s="10">
        <v>0</v>
      </c>
      <c r="L17" s="16">
        <f>ROUND(K17/Assumptions!$B$3+1E-9,3)</f>
        <v>0</v>
      </c>
      <c r="M17" s="17">
        <f>ROUND(E17*K17/100+1E-9,2)</f>
        <v>0</v>
      </c>
      <c r="N17" s="17">
        <f>I17-M17</f>
        <v>1063.37</v>
      </c>
      <c r="O17" s="18" t="str">
        <f>IF(LEFT(INDEX('Process Checks'!$K$5:$K$30,MATCH($A17,'Process Checks'!$A$5:$A$30,0)),7)="PROCEED","Yes","No")</f>
        <v>Yes</v>
      </c>
    </row>
    <row r="18" spans="1:15" x14ac:dyDescent="0.25">
      <c r="A18" s="13" t="s">
        <v>96</v>
      </c>
      <c r="B18" s="13" t="s">
        <v>97</v>
      </c>
      <c r="C18" s="13" t="s">
        <v>69</v>
      </c>
      <c r="D18" s="13" t="s">
        <v>70</v>
      </c>
      <c r="E18" s="14">
        <v>42593.76</v>
      </c>
      <c r="F18" s="14">
        <v>2200</v>
      </c>
      <c r="G18" s="15">
        <v>1.265</v>
      </c>
      <c r="H18" s="16">
        <f>ROUND(G18/Assumptions!$B$3+1E-9,3)</f>
        <v>1.1</v>
      </c>
      <c r="I18" s="17">
        <f>ROUND(E18*G18/100+1E-9,2)</f>
        <v>538.81</v>
      </c>
      <c r="J18" s="17">
        <f>ROUND(I18/Assumptions!$B$4+1E-9,2)</f>
        <v>44.9</v>
      </c>
      <c r="K18" s="10">
        <v>0</v>
      </c>
      <c r="L18" s="16">
        <f>ROUND(K18/Assumptions!$B$3+1E-9,3)</f>
        <v>0</v>
      </c>
      <c r="M18" s="17">
        <f>ROUND(E18*K18/100+1E-9,2)</f>
        <v>0</v>
      </c>
      <c r="N18" s="17">
        <f>I18-M18</f>
        <v>538.81</v>
      </c>
      <c r="O18" s="18" t="str">
        <f>IF(LEFT(INDEX('Process Checks'!$K$5:$K$30,MATCH($A18,'Process Checks'!$A$5:$A$30,0)),7)="PROCEED","Yes","No")</f>
        <v>Yes</v>
      </c>
    </row>
    <row r="19" spans="1:15" x14ac:dyDescent="0.25">
      <c r="A19" s="13" t="s">
        <v>98</v>
      </c>
      <c r="B19" s="13" t="s">
        <v>99</v>
      </c>
      <c r="C19" s="13" t="s">
        <v>69</v>
      </c>
      <c r="D19" s="13" t="s">
        <v>100</v>
      </c>
      <c r="E19" s="14">
        <v>19193.72</v>
      </c>
      <c r="F19" s="14">
        <v>1400</v>
      </c>
      <c r="G19" s="15">
        <v>0</v>
      </c>
      <c r="H19" s="16">
        <f>ROUND(G19/Assumptions!$B$3+1E-9,3)</f>
        <v>0</v>
      </c>
      <c r="I19" s="17">
        <f>ROUND(E19*G19/100+1E-9,2)</f>
        <v>0</v>
      </c>
      <c r="J19" s="17">
        <f>ROUND(I19/Assumptions!$B$4+1E-9,2)</f>
        <v>0</v>
      </c>
      <c r="K19" s="10">
        <v>0</v>
      </c>
      <c r="L19" s="16">
        <f>ROUND(K19/Assumptions!$B$3+1E-9,3)</f>
        <v>0</v>
      </c>
      <c r="M19" s="17">
        <f>ROUND(E19*K19/100+1E-9,2)</f>
        <v>0</v>
      </c>
      <c r="N19" s="17">
        <f>I19-M19</f>
        <v>0</v>
      </c>
      <c r="O19" s="18" t="str">
        <f>IF(LEFT(INDEX('Process Checks'!$K$5:$K$30,MATCH($A19,'Process Checks'!$A$5:$A$30,0)),7)="PROCEED","Yes","No")</f>
        <v>No</v>
      </c>
    </row>
    <row r="20" spans="1:15" x14ac:dyDescent="0.25">
      <c r="A20" s="13" t="s">
        <v>101</v>
      </c>
      <c r="B20" s="13" t="s">
        <v>102</v>
      </c>
      <c r="C20" s="13" t="s">
        <v>73</v>
      </c>
      <c r="D20" s="13" t="s">
        <v>100</v>
      </c>
      <c r="E20" s="14">
        <v>28790.58</v>
      </c>
      <c r="F20" s="14">
        <v>2100</v>
      </c>
      <c r="G20" s="15">
        <v>0</v>
      </c>
      <c r="H20" s="16">
        <f>ROUND(G20/Assumptions!$B$3+1E-9,3)</f>
        <v>0</v>
      </c>
      <c r="I20" s="17">
        <f>ROUND(E20*G20/100+1E-9,2)</f>
        <v>0</v>
      </c>
      <c r="J20" s="17">
        <f>ROUND(I20/Assumptions!$B$4+1E-9,2)</f>
        <v>0</v>
      </c>
      <c r="K20" s="10">
        <v>0</v>
      </c>
      <c r="L20" s="16">
        <f>ROUND(K20/Assumptions!$B$3+1E-9,3)</f>
        <v>0</v>
      </c>
      <c r="M20" s="17">
        <f>ROUND(E20*K20/100+1E-9,2)</f>
        <v>0</v>
      </c>
      <c r="N20" s="17">
        <f>I20-M20</f>
        <v>0</v>
      </c>
      <c r="O20" s="18" t="str">
        <f>IF(LEFT(INDEX('Process Checks'!$K$5:$K$30,MATCH($A20,'Process Checks'!$A$5:$A$30,0)),7)="PROCEED","Yes","No")</f>
        <v>No</v>
      </c>
    </row>
    <row r="21" spans="1:15" x14ac:dyDescent="0.25">
      <c r="A21" s="13" t="s">
        <v>103</v>
      </c>
      <c r="B21" s="13" t="s">
        <v>104</v>
      </c>
      <c r="C21" s="13" t="s">
        <v>69</v>
      </c>
      <c r="D21" s="13" t="s">
        <v>100</v>
      </c>
      <c r="E21" s="14">
        <v>40335.36</v>
      </c>
      <c r="F21" s="14">
        <v>3200</v>
      </c>
      <c r="G21" s="15">
        <v>0</v>
      </c>
      <c r="H21" s="16">
        <f>ROUND(G21/Assumptions!$B$3+1E-9,3)</f>
        <v>0</v>
      </c>
      <c r="I21" s="17">
        <f>ROUND(E21*G21/100+1E-9,2)</f>
        <v>0</v>
      </c>
      <c r="J21" s="17">
        <f>ROUND(I21/Assumptions!$B$4+1E-9,2)</f>
        <v>0</v>
      </c>
      <c r="K21" s="10">
        <v>0</v>
      </c>
      <c r="L21" s="16">
        <f>ROUND(K21/Assumptions!$B$3+1E-9,3)</f>
        <v>0</v>
      </c>
      <c r="M21" s="17">
        <f>ROUND(E21*K21/100+1E-9,2)</f>
        <v>0</v>
      </c>
      <c r="N21" s="17">
        <f>I21-M21</f>
        <v>0</v>
      </c>
      <c r="O21" s="18" t="str">
        <f>IF(LEFT(INDEX('Process Checks'!$K$5:$K$30,MATCH($A21,'Process Checks'!$A$5:$A$30,0)),7)="PROCEED","Yes","No")</f>
        <v>No</v>
      </c>
    </row>
    <row r="22" spans="1:15" x14ac:dyDescent="0.25">
      <c r="A22" s="13" t="s">
        <v>105</v>
      </c>
      <c r="B22" s="13" t="s">
        <v>106</v>
      </c>
      <c r="C22" s="13" t="s">
        <v>69</v>
      </c>
      <c r="D22" s="13" t="s">
        <v>107</v>
      </c>
      <c r="E22" s="14">
        <v>19563.94</v>
      </c>
      <c r="F22" s="14">
        <v>1700</v>
      </c>
      <c r="G22" s="15">
        <v>0.575</v>
      </c>
      <c r="H22" s="16">
        <f>ROUND(G22/Assumptions!$B$3+1E-9,3)</f>
        <v>0.5</v>
      </c>
      <c r="I22" s="17">
        <f>ROUND(E22*G22/100+1E-9,2)</f>
        <v>112.49</v>
      </c>
      <c r="J22" s="17">
        <f>ROUND(I22/Assumptions!$B$4+1E-9,2)</f>
        <v>9.37</v>
      </c>
      <c r="K22" s="10">
        <v>0</v>
      </c>
      <c r="L22" s="16">
        <f>ROUND(K22/Assumptions!$B$3+1E-9,3)</f>
        <v>0</v>
      </c>
      <c r="M22" s="17">
        <f>ROUND(E22*K22/100+1E-9,2)</f>
        <v>0</v>
      </c>
      <c r="N22" s="17">
        <f>I22-M22</f>
        <v>112.49</v>
      </c>
      <c r="O22" s="18" t="str">
        <f>IF(LEFT(INDEX('Process Checks'!$K$5:$K$30,MATCH($A22,'Process Checks'!$A$5:$A$30,0)),7)="PROCEED","Yes","No")</f>
        <v>No</v>
      </c>
    </row>
    <row r="23" spans="1:15" x14ac:dyDescent="0.25">
      <c r="A23" s="13" t="s">
        <v>108</v>
      </c>
      <c r="B23" s="13" t="s">
        <v>109</v>
      </c>
      <c r="C23" s="13" t="s">
        <v>73</v>
      </c>
      <c r="D23" s="13" t="s">
        <v>110</v>
      </c>
      <c r="E23" s="14">
        <v>13025</v>
      </c>
      <c r="F23" s="14">
        <v>1250</v>
      </c>
      <c r="G23" s="15">
        <v>1.15</v>
      </c>
      <c r="H23" s="16">
        <f>ROUND(G23/Assumptions!$B$3+1E-9,3)</f>
        <v>1</v>
      </c>
      <c r="I23" s="17">
        <f>ROUND(E23*G23/100+1E-9,2)</f>
        <v>149.79</v>
      </c>
      <c r="J23" s="17">
        <f>ROUND(I23/Assumptions!$B$4+1E-9,2)</f>
        <v>12.48</v>
      </c>
      <c r="K23" s="10">
        <v>0</v>
      </c>
      <c r="L23" s="16">
        <f>ROUND(K23/Assumptions!$B$3+1E-9,3)</f>
        <v>0</v>
      </c>
      <c r="M23" s="17">
        <f>ROUND(E23*K23/100+1E-9,2)</f>
        <v>0</v>
      </c>
      <c r="N23" s="17">
        <f>I23-M23</f>
        <v>149.79</v>
      </c>
      <c r="O23" s="18" t="str">
        <f>IF(LEFT(INDEX('Process Checks'!$K$5:$K$30,MATCH($A23,'Process Checks'!$A$5:$A$30,0)),7)="PROCEED","Yes","No")</f>
        <v>No</v>
      </c>
    </row>
    <row r="24" spans="1:15" x14ac:dyDescent="0.25">
      <c r="A24" s="13" t="s">
        <v>111</v>
      </c>
      <c r="B24" s="13" t="s">
        <v>112</v>
      </c>
      <c r="C24" s="13" t="s">
        <v>69</v>
      </c>
      <c r="D24" s="13" t="s">
        <v>113</v>
      </c>
      <c r="E24" s="14">
        <v>24284.52</v>
      </c>
      <c r="F24" s="14">
        <v>2600</v>
      </c>
      <c r="G24" s="15">
        <v>1.15</v>
      </c>
      <c r="H24" s="16">
        <f>ROUND(G24/Assumptions!$B$3+1E-9,3)</f>
        <v>1</v>
      </c>
      <c r="I24" s="17">
        <f>ROUND(E24*G24/100+1E-9,2)</f>
        <v>279.27</v>
      </c>
      <c r="J24" s="17">
        <f>ROUND(I24/Assumptions!$B$4+1E-9,2)</f>
        <v>23.27</v>
      </c>
      <c r="K24" s="10">
        <v>0</v>
      </c>
      <c r="L24" s="16">
        <f>ROUND(K24/Assumptions!$B$3+1E-9,3)</f>
        <v>0</v>
      </c>
      <c r="M24" s="17">
        <f>ROUND(E24*K24/100+1E-9,2)</f>
        <v>0</v>
      </c>
      <c r="N24" s="17">
        <f>I24-M24</f>
        <v>279.27</v>
      </c>
      <c r="O24" s="18" t="str">
        <f>IF(LEFT(INDEX('Process Checks'!$K$5:$K$30,MATCH($A24,'Process Checks'!$A$5:$A$30,0)),7)="PROCEED","Yes","No")</f>
        <v>No</v>
      </c>
    </row>
    <row r="25" spans="1:15" x14ac:dyDescent="0.25">
      <c r="A25" s="13" t="s">
        <v>114</v>
      </c>
      <c r="B25" s="13" t="s">
        <v>115</v>
      </c>
      <c r="C25" s="13" t="s">
        <v>69</v>
      </c>
      <c r="D25" s="13" t="s">
        <v>116</v>
      </c>
      <c r="E25" s="14">
        <v>8406.18</v>
      </c>
      <c r="F25" s="14">
        <v>900</v>
      </c>
      <c r="G25" s="15">
        <v>0.575</v>
      </c>
      <c r="H25" s="16">
        <f>ROUND(G25/Assumptions!$B$3+1E-9,3)</f>
        <v>0.5</v>
      </c>
      <c r="I25" s="17">
        <f>ROUND(E25*G25/100+1E-9,2)</f>
        <v>48.34</v>
      </c>
      <c r="J25" s="17">
        <f>ROUND(I25/Assumptions!$B$4+1E-9,2)</f>
        <v>4.03</v>
      </c>
      <c r="K25" s="10">
        <v>0</v>
      </c>
      <c r="L25" s="16">
        <f>ROUND(K25/Assumptions!$B$3+1E-9,3)</f>
        <v>0</v>
      </c>
      <c r="M25" s="17">
        <f>ROUND(E25*K25/100+1E-9,2)</f>
        <v>0</v>
      </c>
      <c r="N25" s="17">
        <f>I25-M25</f>
        <v>48.34</v>
      </c>
      <c r="O25" s="18" t="str">
        <f>IF(LEFT(INDEX('Process Checks'!$K$5:$K$30,MATCH($A25,'Process Checks'!$A$5:$A$30,0)),7)="PROCEED","Yes","No")</f>
        <v>Yes</v>
      </c>
    </row>
    <row r="26" spans="1:15" x14ac:dyDescent="0.25">
      <c r="A26" s="13" t="s">
        <v>117</v>
      </c>
      <c r="B26" s="13" t="s">
        <v>118</v>
      </c>
      <c r="C26" s="13" t="s">
        <v>73</v>
      </c>
      <c r="D26" s="13" t="s">
        <v>116</v>
      </c>
      <c r="E26" s="14">
        <v>22739.2</v>
      </c>
      <c r="F26" s="14">
        <v>2750</v>
      </c>
      <c r="G26" s="15">
        <v>1.15</v>
      </c>
      <c r="H26" s="16">
        <f>ROUND(G26/Assumptions!$B$3+1E-9,3)</f>
        <v>1</v>
      </c>
      <c r="I26" s="17">
        <f>ROUND(E26*G26/100+1E-9,2)</f>
        <v>261.5</v>
      </c>
      <c r="J26" s="17">
        <f>ROUND(I26/Assumptions!$B$4+1E-9,2)</f>
        <v>21.79</v>
      </c>
      <c r="K26" s="10">
        <v>0</v>
      </c>
      <c r="L26" s="16">
        <f>ROUND(K26/Assumptions!$B$3+1E-9,3)</f>
        <v>0</v>
      </c>
      <c r="M26" s="17">
        <f>ROUND(E26*K26/100+1E-9,2)</f>
        <v>0</v>
      </c>
      <c r="N26" s="17">
        <f>I26-M26</f>
        <v>261.5</v>
      </c>
      <c r="O26" s="18" t="str">
        <f>IF(LEFT(INDEX('Process Checks'!$K$5:$K$30,MATCH($A26,'Process Checks'!$A$5:$A$30,0)),7)="PROCEED","Yes","No")</f>
        <v>Yes</v>
      </c>
    </row>
    <row r="27" spans="1:15" x14ac:dyDescent="0.25">
      <c r="A27" s="13" t="s">
        <v>119</v>
      </c>
      <c r="B27" s="13" t="s">
        <v>120</v>
      </c>
      <c r="C27" s="13" t="s">
        <v>69</v>
      </c>
      <c r="D27" s="13" t="s">
        <v>121</v>
      </c>
      <c r="E27" s="14">
        <v>21617.4</v>
      </c>
      <c r="F27" s="14">
        <v>3000</v>
      </c>
      <c r="G27" s="15">
        <v>1.15</v>
      </c>
      <c r="H27" s="16">
        <f>ROUND(G27/Assumptions!$B$3+1E-9,3)</f>
        <v>1</v>
      </c>
      <c r="I27" s="17">
        <f>ROUND(E27*G27/100+1E-9,2)</f>
        <v>248.6</v>
      </c>
      <c r="J27" s="17">
        <f>ROUND(I27/Assumptions!$B$4+1E-9,2)</f>
        <v>20.72</v>
      </c>
      <c r="K27" s="10">
        <v>0</v>
      </c>
      <c r="L27" s="16">
        <f>ROUND(K27/Assumptions!$B$3+1E-9,3)</f>
        <v>0</v>
      </c>
      <c r="M27" s="17">
        <f>ROUND(E27*K27/100+1E-9,2)</f>
        <v>0</v>
      </c>
      <c r="N27" s="17">
        <f>I27-M27</f>
        <v>248.6</v>
      </c>
      <c r="O27" s="18" t="str">
        <f>IF(LEFT(INDEX('Process Checks'!$K$5:$K$30,MATCH($A27,'Process Checks'!$A$5:$A$30,0)),7)="PROCEED","Yes","No")</f>
        <v>Yes</v>
      </c>
    </row>
    <row r="28" spans="1:15" x14ac:dyDescent="0.25">
      <c r="A28" s="13" t="s">
        <v>122</v>
      </c>
      <c r="B28" s="13" t="s">
        <v>123</v>
      </c>
      <c r="C28" s="13" t="s">
        <v>73</v>
      </c>
      <c r="D28" s="13" t="s">
        <v>121</v>
      </c>
      <c r="E28" s="14">
        <v>14411.6</v>
      </c>
      <c r="F28" s="14">
        <v>2000</v>
      </c>
      <c r="G28" s="15">
        <v>1.15</v>
      </c>
      <c r="H28" s="16">
        <f>ROUND(G28/Assumptions!$B$3+1E-9,3)</f>
        <v>1</v>
      </c>
      <c r="I28" s="17">
        <f>ROUND(E28*G28/100+1E-9,2)</f>
        <v>165.73</v>
      </c>
      <c r="J28" s="17">
        <f>ROUND(I28/Assumptions!$B$4+1E-9,2)</f>
        <v>13.81</v>
      </c>
      <c r="K28" s="10">
        <v>0</v>
      </c>
      <c r="L28" s="16">
        <f>ROUND(K28/Assumptions!$B$3+1E-9,3)</f>
        <v>0</v>
      </c>
      <c r="M28" s="17">
        <f>ROUND(E28*K28/100+1E-9,2)</f>
        <v>0</v>
      </c>
      <c r="N28" s="17">
        <f>I28-M28</f>
        <v>165.73</v>
      </c>
      <c r="O28" s="18" t="str">
        <f>IF(LEFT(INDEX('Process Checks'!$K$5:$K$30,MATCH($A28,'Process Checks'!$A$5:$A$30,0)),7)="PROCEED","Yes","No")</f>
        <v>Yes</v>
      </c>
    </row>
    <row r="29" spans="1:15" x14ac:dyDescent="0.25">
      <c r="A29" s="13" t="s">
        <v>124</v>
      </c>
      <c r="B29" s="13" t="s">
        <v>125</v>
      </c>
      <c r="C29" s="13" t="s">
        <v>69</v>
      </c>
      <c r="D29" s="13" t="s">
        <v>121</v>
      </c>
      <c r="E29" s="14">
        <v>12970.44</v>
      </c>
      <c r="F29" s="14">
        <v>1800</v>
      </c>
      <c r="G29" s="15">
        <v>0.575</v>
      </c>
      <c r="H29" s="16">
        <f>ROUND(G29/Assumptions!$B$3+1E-9,3)</f>
        <v>0.5</v>
      </c>
      <c r="I29" s="17">
        <f>ROUND(E29*G29/100+1E-9,2)</f>
        <v>74.58</v>
      </c>
      <c r="J29" s="17">
        <f>ROUND(I29/Assumptions!$B$4+1E-9,2)</f>
        <v>6.22</v>
      </c>
      <c r="K29" s="10">
        <v>0</v>
      </c>
      <c r="L29" s="16">
        <f>ROUND(K29/Assumptions!$B$3+1E-9,3)</f>
        <v>0</v>
      </c>
      <c r="M29" s="17">
        <f>ROUND(E29*K29/100+1E-9,2)</f>
        <v>0</v>
      </c>
      <c r="N29" s="17">
        <f>I29-M29</f>
        <v>74.58</v>
      </c>
      <c r="O29" s="18" t="str">
        <f>IF(LEFT(INDEX('Process Checks'!$K$5:$K$30,MATCH($A29,'Process Checks'!$A$5:$A$30,0)),7)="PROCEED","Yes","No")</f>
        <v>Yes</v>
      </c>
    </row>
    <row r="30" spans="1:15" x14ac:dyDescent="0.25">
      <c r="A30" s="13" t="s">
        <v>126</v>
      </c>
      <c r="B30" s="13" t="s">
        <v>127</v>
      </c>
      <c r="C30" s="13" t="s">
        <v>69</v>
      </c>
      <c r="D30" s="13" t="s">
        <v>121</v>
      </c>
      <c r="E30" s="14">
        <v>17293.92</v>
      </c>
      <c r="F30" s="14">
        <v>2400</v>
      </c>
      <c r="G30" s="15">
        <v>1.15</v>
      </c>
      <c r="H30" s="16">
        <f>ROUND(G30/Assumptions!$B$3+1E-9,3)</f>
        <v>1</v>
      </c>
      <c r="I30" s="17">
        <f>ROUND(E30*G30/100+1E-9,2)</f>
        <v>198.88</v>
      </c>
      <c r="J30" s="17">
        <f>ROUND(I30/Assumptions!$B$4+1E-9,2)</f>
        <v>16.57</v>
      </c>
      <c r="K30" s="10">
        <v>0</v>
      </c>
      <c r="L30" s="16">
        <f>ROUND(K30/Assumptions!$B$3+1E-9,3)</f>
        <v>0</v>
      </c>
      <c r="M30" s="17">
        <f>ROUND(E30*K30/100+1E-9,2)</f>
        <v>0</v>
      </c>
      <c r="N30" s="17">
        <f>I30-M30</f>
        <v>198.88</v>
      </c>
      <c r="O30" s="18" t="str">
        <f>IF(LEFT(INDEX('Process Checks'!$K$5:$K$30,MATCH($A30,'Process Checks'!$A$5:$A$30,0)),7)="PROCEED","Yes","No")</f>
        <v>Yes</v>
      </c>
    </row>
    <row r="32" spans="1:15" x14ac:dyDescent="0.25">
      <c r="A32" s="19" t="s">
        <v>128</v>
      </c>
      <c r="I32" s="20">
        <f>SUMIF($O$5:$O$30,"Yes",I5:I30)</f>
        <v>10459.89</v>
      </c>
      <c r="M32" s="20">
        <f>SUMIF($O$5:$O$30,"Yes",M5:M30)</f>
        <v>0</v>
      </c>
      <c r="N32" s="20">
        <f>SUMIF($O$5:$O$30,"Yes",N5:N30)</f>
        <v>10459.89</v>
      </c>
      <c r="O32" s="21" t="str">
        <f>COUNTIF($O$5:$O$30,"Yes")&amp;" policies"</f>
        <v>20 policies</v>
      </c>
    </row>
  </sheetData>
  <autoFilter ref="A4:O3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N35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24" customWidth="1"/>
    <col min="3" max="4" width="17" customWidth="1"/>
    <col min="5" max="5" width="12" customWidth="1"/>
    <col min="6" max="6" width="14" customWidth="1"/>
    <col min="7" max="7" width="44" customWidth="1"/>
    <col min="8" max="8" width="13" customWidth="1"/>
    <col min="9" max="9" width="14" customWidth="1"/>
    <col min="10" max="10" width="15" customWidth="1"/>
    <col min="11" max="12" width="52" customWidth="1"/>
    <col min="13" max="13" width="30" customWidth="1"/>
    <col min="14" max="14" width="16" customWidth="1"/>
  </cols>
  <sheetData>
    <row r="1" spans="1:1" x14ac:dyDescent="0.25">
      <c r="A1" s="4" t="s">
        <v>129</v>
      </c>
    </row>
    <row r="2" spans="1:1" x14ac:dyDescent="0.25">
      <c r="A2" s="7" t="s">
        <v>130</v>
      </c>
    </row>
    <row r="4" ht="48" customHeight="1" spans="1:14" x14ac:dyDescent="0.25">
      <c r="A4" s="11" t="s">
        <v>52</v>
      </c>
      <c r="B4" s="11" t="s">
        <v>53</v>
      </c>
      <c r="C4" s="11" t="s">
        <v>131</v>
      </c>
      <c r="D4" s="11" t="s">
        <v>132</v>
      </c>
      <c r="E4" s="12" t="s">
        <v>133</v>
      </c>
      <c r="F4" s="12" t="s">
        <v>134</v>
      </c>
      <c r="G4" s="12" t="s">
        <v>135</v>
      </c>
      <c r="H4" s="12" t="s">
        <v>58</v>
      </c>
      <c r="I4" s="12" t="s">
        <v>136</v>
      </c>
      <c r="J4" s="12" t="s">
        <v>137</v>
      </c>
      <c r="K4" s="12" t="s">
        <v>138</v>
      </c>
      <c r="L4" s="12" t="s">
        <v>139</v>
      </c>
      <c r="M4" s="12" t="s">
        <v>140</v>
      </c>
      <c r="N4" s="12" t="s">
        <v>141</v>
      </c>
    </row>
    <row r="5" spans="1:14" x14ac:dyDescent="0.25">
      <c r="A5" s="13" t="s">
        <v>67</v>
      </c>
      <c r="B5" s="13" t="s">
        <v>68</v>
      </c>
      <c r="C5" s="22" t="s">
        <v>142</v>
      </c>
      <c r="D5" s="22" t="s">
        <v>142</v>
      </c>
      <c r="E5" s="18" t="str">
        <f>IF(C5=D5,"MATCH","MISMATCH")</f>
        <v>MATCH</v>
      </c>
      <c r="F5" s="23" t="s">
        <v>143</v>
      </c>
      <c r="G5" s="13" t="s">
        <v>3</v>
      </c>
      <c r="H5" s="16">
        <f>INDEX('Fee Switch-Off'!$G$5:$G$30,MATCH($A5,'Fee Switch-Off'!$A$5:$A$30,0))</f>
        <v>0.575</v>
      </c>
      <c r="I5" s="23" t="s">
        <v>144</v>
      </c>
      <c r="J5" s="23" t="s">
        <v>36</v>
      </c>
      <c r="K5" s="5" t="str">
        <f>IF(E5="MISMATCH","STOP: ID number does not match the work list",IF(F5="Yes","STOP: error 56000, an endorsement is already in progress",IF(H5=0,"SKIP: fee already 0.000","PROCEED: set VAT Inclusive fee to 0")))</f>
        <v>PROCEED: set VAT Inclusive fee to 0</v>
      </c>
      <c r="L5" s="5" t="str">
        <f>IF(LEFT(K5,7)="PROCEED","ACTIVE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5" s="5" t="str">
        <f>IF(LEFT(K5,7)&lt;&gt;"PROCEED","n/a",IF(I5="(blank)","Select Approved before Submit","Already Approved"))</f>
        <v>Already Approved</v>
      </c>
      <c r="N5" s="18" t="str">
        <f>IF(LEFT(K5,7)="PROCEED",J5,"n/a")</f>
        <v>04/08/2026</v>
      </c>
    </row>
    <row r="6" spans="1:14" x14ac:dyDescent="0.25">
      <c r="A6" s="13" t="s">
        <v>71</v>
      </c>
      <c r="B6" s="13" t="s">
        <v>72</v>
      </c>
      <c r="C6" s="22" t="s">
        <v>145</v>
      </c>
      <c r="D6" s="22" t="s">
        <v>145</v>
      </c>
      <c r="E6" s="18" t="str">
        <f>IF(C6=D6,"MATCH","MISMATCH")</f>
        <v>MATCH</v>
      </c>
      <c r="F6" s="23" t="s">
        <v>143</v>
      </c>
      <c r="G6" s="13" t="s">
        <v>3</v>
      </c>
      <c r="H6" s="16">
        <f>INDEX('Fee Switch-Off'!$G$5:$G$30,MATCH($A6,'Fee Switch-Off'!$A$5:$A$30,0))</f>
        <v>1.15</v>
      </c>
      <c r="I6" s="23" t="s">
        <v>144</v>
      </c>
      <c r="J6" s="23" t="s">
        <v>146</v>
      </c>
      <c r="K6" s="5" t="str">
        <f>IF(E6="MISMATCH","STOP: ID number does not match the work list",IF(F6="Yes","STOP: error 56000, an endorsement is already in progress",IF(H6=0,"SKIP: fee already 0.000","PROCEED: set VAT Inclusive fee to 0")))</f>
        <v>PROCEED: set VAT Inclusive fee to 0</v>
      </c>
      <c r="L6" s="5" t="str">
        <f>IF(LEFT(K6,7)="PROCEED","ACTIVE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6" s="5" t="str">
        <f>IF(LEFT(K6,7)&lt;&gt;"PROCEED","n/a",IF(I6="(blank)","Select Approved before Submit","Already Approved"))</f>
        <v>Already Approved</v>
      </c>
      <c r="N6" s="18" t="str">
        <f>IF(LEFT(K6,7)="PROCEED",J6,"n/a")</f>
        <v>01/08/2026</v>
      </c>
    </row>
    <row r="7" spans="1:14" x14ac:dyDescent="0.25">
      <c r="A7" s="13" t="s">
        <v>74</v>
      </c>
      <c r="B7" s="13" t="s">
        <v>75</v>
      </c>
      <c r="C7" s="22" t="s">
        <v>147</v>
      </c>
      <c r="D7" s="22" t="s">
        <v>147</v>
      </c>
      <c r="E7" s="18" t="str">
        <f>IF(C7=D7,"MATCH","MISMATCH")</f>
        <v>MATCH</v>
      </c>
      <c r="F7" s="23" t="s">
        <v>143</v>
      </c>
      <c r="G7" s="13" t="s">
        <v>3</v>
      </c>
      <c r="H7" s="16">
        <f>INDEX('Fee Switch-Off'!$G$5:$G$30,MATCH($A7,'Fee Switch-Off'!$A$5:$A$30,0))</f>
        <v>0.863</v>
      </c>
      <c r="I7" s="23" t="s">
        <v>148</v>
      </c>
      <c r="J7" s="23" t="s">
        <v>149</v>
      </c>
      <c r="K7" s="5" t="str">
        <f>IF(E7="MISMATCH","STOP: ID number does not match the work list",IF(F7="Yes","STOP: error 56000, an endorsement is already in progress",IF(H7=0,"SKIP: fee already 0.000","PROCEED: set VAT Inclusive fee to 0")))</f>
        <v>PROCEED: set VAT Inclusive fee to 0</v>
      </c>
      <c r="L7" s="5" t="str">
        <f>IF(LEFT(K7,7)="PROCEED","ACTIVE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7" s="5" t="str">
        <f>IF(LEFT(K7,7)&lt;&gt;"PROCEED","n/a",IF(I7="(blank)","Select Approved before Submit","Already Approved"))</f>
        <v>Select Approved before Submit</v>
      </c>
      <c r="N7" s="18" t="str">
        <f>IF(LEFT(K7,7)="PROCEED",J7,"n/a")</f>
        <v>31/07/2026</v>
      </c>
    </row>
    <row r="8" spans="1:14" x14ac:dyDescent="0.25">
      <c r="A8" s="13" t="s">
        <v>76</v>
      </c>
      <c r="B8" s="13" t="s">
        <v>77</v>
      </c>
      <c r="C8" s="22" t="s">
        <v>150</v>
      </c>
      <c r="D8" s="22" t="s">
        <v>150</v>
      </c>
      <c r="E8" s="18" t="str">
        <f>IF(C8=D8,"MATCH","MISMATCH")</f>
        <v>MATCH</v>
      </c>
      <c r="F8" s="23" t="s">
        <v>143</v>
      </c>
      <c r="G8" s="13" t="s">
        <v>3</v>
      </c>
      <c r="H8" s="16">
        <f>INDEX('Fee Switch-Off'!$G$5:$G$30,MATCH($A8,'Fee Switch-Off'!$A$5:$A$30,0))</f>
        <v>0.575</v>
      </c>
      <c r="I8" s="23" t="s">
        <v>144</v>
      </c>
      <c r="J8" s="23" t="s">
        <v>151</v>
      </c>
      <c r="K8" s="5" t="str">
        <f>IF(E8="MISMATCH","STOP: ID number does not match the work list",IF(F8="Yes","STOP: error 56000, an endorsement is already in progress",IF(H8=0,"SKIP: fee already 0.000","PROCEED: set VAT Inclusive fee to 0")))</f>
        <v>PROCEED: set VAT Inclusive fee to 0</v>
      </c>
      <c r="L8" s="5" t="str">
        <f>IF(LEFT(K8,7)="PROCEED","ACTIVE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8" s="5" t="str">
        <f>IF(LEFT(K8,7)&lt;&gt;"PROCEED","n/a",IF(I8="(blank)","Select Approved before Submit","Already Approved"))</f>
        <v>Already Approved</v>
      </c>
      <c r="N8" s="18" t="str">
        <f>IF(LEFT(K8,7)="PROCEED",J8,"n/a")</f>
        <v>03/08/2026</v>
      </c>
    </row>
    <row r="9" spans="1:14" x14ac:dyDescent="0.25">
      <c r="A9" s="13" t="s">
        <v>78</v>
      </c>
      <c r="B9" s="13" t="s">
        <v>79</v>
      </c>
      <c r="C9" s="22" t="s">
        <v>152</v>
      </c>
      <c r="D9" s="22" t="s">
        <v>152</v>
      </c>
      <c r="E9" s="18" t="str">
        <f>IF(C9=D9,"MATCH","MISMATCH")</f>
        <v>MATCH</v>
      </c>
      <c r="F9" s="23" t="s">
        <v>143</v>
      </c>
      <c r="G9" s="13" t="s">
        <v>3</v>
      </c>
      <c r="H9" s="16">
        <f>INDEX('Fee Switch-Off'!$G$5:$G$30,MATCH($A9,'Fee Switch-Off'!$A$5:$A$30,0))</f>
        <v>1.438</v>
      </c>
      <c r="I9" s="23" t="s">
        <v>144</v>
      </c>
      <c r="J9" s="23" t="s">
        <v>153</v>
      </c>
      <c r="K9" s="5" t="str">
        <f>IF(E9="MISMATCH","STOP: ID number does not match the work list",IF(F9="Yes","STOP: error 56000, an endorsement is already in progress",IF(H9=0,"SKIP: fee already 0.000","PROCEED: set VAT Inclusive fee to 0")))</f>
        <v>PROCEED: set VAT Inclusive fee to 0</v>
      </c>
      <c r="L9" s="5" t="str">
        <f>IF(LEFT(K9,7)="PROCEED","ACTIVE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9" s="5" t="str">
        <f>IF(LEFT(K9,7)&lt;&gt;"PROCEED","n/a",IF(I9="(blank)","Select Approved before Submit","Already Approved"))</f>
        <v>Already Approved</v>
      </c>
      <c r="N9" s="18" t="str">
        <f>IF(LEFT(K9,7)="PROCEED",J9,"n/a")</f>
        <v>30/07/2026</v>
      </c>
    </row>
    <row r="10" spans="1:14" x14ac:dyDescent="0.25">
      <c r="A10" s="13" t="s">
        <v>80</v>
      </c>
      <c r="B10" s="13" t="s">
        <v>81</v>
      </c>
      <c r="C10" s="22" t="s">
        <v>154</v>
      </c>
      <c r="D10" s="22" t="s">
        <v>154</v>
      </c>
      <c r="E10" s="18" t="str">
        <f>IF(C10=D10,"MATCH","MISMATCH")</f>
        <v>MATCH</v>
      </c>
      <c r="F10" s="23" t="s">
        <v>143</v>
      </c>
      <c r="G10" s="13" t="s">
        <v>3</v>
      </c>
      <c r="H10" s="16">
        <f>INDEX('Fee Switch-Off'!$G$5:$G$30,MATCH($A10,'Fee Switch-Off'!$A$5:$A$30,0))</f>
        <v>1.15</v>
      </c>
      <c r="I10" s="23" t="s">
        <v>144</v>
      </c>
      <c r="J10" s="23" t="s">
        <v>36</v>
      </c>
      <c r="K10" s="5" t="str">
        <f>IF(E10="MISMATCH","STOP: ID number does not match the work list",IF(F10="Yes","STOP: error 56000, an endorsement is already in progress",IF(H10=0,"SKIP: fee already 0.000","PROCEED: set VAT Inclusive fee to 0")))</f>
        <v>PROCEED: set VAT Inclusive fee to 0</v>
      </c>
      <c r="L10" s="5" t="str">
        <f>IF(LEFT(K10,7)="PROCEED","ACTIVE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10" s="5" t="str">
        <f>IF(LEFT(K10,7)&lt;&gt;"PROCEED","n/a",IF(I10="(blank)","Select Approved before Submit","Already Approved"))</f>
        <v>Already Approved</v>
      </c>
      <c r="N10" s="18" t="str">
        <f>IF(LEFT(K10,7)="PROCEED",J10,"n/a")</f>
        <v>04/08/2026</v>
      </c>
    </row>
    <row r="11" spans="1:14" x14ac:dyDescent="0.25">
      <c r="A11" s="13" t="s">
        <v>82</v>
      </c>
      <c r="B11" s="13" t="s">
        <v>83</v>
      </c>
      <c r="C11" s="22" t="s">
        <v>155</v>
      </c>
      <c r="D11" s="22" t="s">
        <v>155</v>
      </c>
      <c r="E11" s="18" t="str">
        <f>IF(C11=D11,"MATCH","MISMATCH")</f>
        <v>MATCH</v>
      </c>
      <c r="F11" s="23" t="s">
        <v>143</v>
      </c>
      <c r="G11" s="13" t="s">
        <v>3</v>
      </c>
      <c r="H11" s="16">
        <f>INDEX('Fee Switch-Off'!$G$5:$G$30,MATCH($A11,'Fee Switch-Off'!$A$5:$A$30,0))</f>
        <v>0.69</v>
      </c>
      <c r="I11" s="23" t="s">
        <v>144</v>
      </c>
      <c r="J11" s="23" t="s">
        <v>146</v>
      </c>
      <c r="K11" s="5" t="str">
        <f>IF(E11="MISMATCH","STOP: ID number does not match the work list",IF(F11="Yes","STOP: error 56000, an endorsement is already in progress",IF(H11=0,"SKIP: fee already 0.000","PROCEED: set VAT Inclusive fee to 0")))</f>
        <v>PROCEED: set VAT Inclusive fee to 0</v>
      </c>
      <c r="L11" s="5" t="str">
        <f>IF(LEFT(K11,7)="PROCEED","ACTIVE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11" s="5" t="str">
        <f>IF(LEFT(K11,7)&lt;&gt;"PROCEED","n/a",IF(I11="(blank)","Select Approved before Submit","Already Approved"))</f>
        <v>Already Approved</v>
      </c>
      <c r="N11" s="18" t="str">
        <f>IF(LEFT(K11,7)="PROCEED",J11,"n/a")</f>
        <v>01/08/2026</v>
      </c>
    </row>
    <row r="12" spans="1:14" x14ac:dyDescent="0.25">
      <c r="A12" s="13" t="s">
        <v>84</v>
      </c>
      <c r="B12" s="13" t="s">
        <v>85</v>
      </c>
      <c r="C12" s="22" t="s">
        <v>156</v>
      </c>
      <c r="D12" s="22" t="s">
        <v>156</v>
      </c>
      <c r="E12" s="18" t="str">
        <f>IF(C12=D12,"MATCH","MISMATCH")</f>
        <v>MATCH</v>
      </c>
      <c r="F12" s="23" t="s">
        <v>143</v>
      </c>
      <c r="G12" s="13" t="s">
        <v>3</v>
      </c>
      <c r="H12" s="16">
        <f>INDEX('Fee Switch-Off'!$G$5:$G$30,MATCH($A12,'Fee Switch-Off'!$A$5:$A$30,0))</f>
        <v>1.035</v>
      </c>
      <c r="I12" s="23" t="s">
        <v>144</v>
      </c>
      <c r="J12" s="23" t="s">
        <v>149</v>
      </c>
      <c r="K12" s="5" t="str">
        <f>IF(E12="MISMATCH","STOP: ID number does not match the work list",IF(F12="Yes","STOP: error 56000, an endorsement is already in progress",IF(H12=0,"SKIP: fee already 0.000","PROCEED: set VAT Inclusive fee to 0")))</f>
        <v>PROCEED: set VAT Inclusive fee to 0</v>
      </c>
      <c r="L12" s="5" t="str">
        <f>IF(LEFT(K12,7)="PROCEED","ACTIVE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12" s="5" t="str">
        <f>IF(LEFT(K12,7)&lt;&gt;"PROCEED","n/a",IF(I12="(blank)","Select Approved before Submit","Already Approved"))</f>
        <v>Already Approved</v>
      </c>
      <c r="N12" s="18" t="str">
        <f>IF(LEFT(K12,7)="PROCEED",J12,"n/a")</f>
        <v>31/07/2026</v>
      </c>
    </row>
    <row r="13" spans="1:14" x14ac:dyDescent="0.25">
      <c r="A13" s="13" t="s">
        <v>86</v>
      </c>
      <c r="B13" s="13" t="s">
        <v>87</v>
      </c>
      <c r="C13" s="22" t="s">
        <v>157</v>
      </c>
      <c r="D13" s="22" t="s">
        <v>157</v>
      </c>
      <c r="E13" s="18" t="str">
        <f>IF(C13=D13,"MATCH","MISMATCH")</f>
        <v>MATCH</v>
      </c>
      <c r="F13" s="23" t="s">
        <v>143</v>
      </c>
      <c r="G13" s="13" t="s">
        <v>3</v>
      </c>
      <c r="H13" s="16">
        <f>INDEX('Fee Switch-Off'!$G$5:$G$30,MATCH($A13,'Fee Switch-Off'!$A$5:$A$30,0))</f>
        <v>0.46</v>
      </c>
      <c r="I13" s="23" t="s">
        <v>144</v>
      </c>
      <c r="J13" s="23" t="s">
        <v>151</v>
      </c>
      <c r="K13" s="5" t="str">
        <f>IF(E13="MISMATCH","STOP: ID number does not match the work list",IF(F13="Yes","STOP: error 56000, an endorsement is already in progress",IF(H13=0,"SKIP: fee already 0.000","PROCEED: set VAT Inclusive fee to 0")))</f>
        <v>PROCEED: set VAT Inclusive fee to 0</v>
      </c>
      <c r="L13" s="5" t="str">
        <f>IF(LEFT(K13,7)="PROCEED","ACTIVE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13" s="5" t="str">
        <f>IF(LEFT(K13,7)&lt;&gt;"PROCEED","n/a",IF(I13="(blank)","Select Approved before Submit","Already Approved"))</f>
        <v>Already Approved</v>
      </c>
      <c r="N13" s="18" t="str">
        <f>IF(LEFT(K13,7)="PROCEED",J13,"n/a")</f>
        <v>03/08/2026</v>
      </c>
    </row>
    <row r="14" spans="1:14" x14ac:dyDescent="0.25">
      <c r="A14" s="13" t="s">
        <v>88</v>
      </c>
      <c r="B14" s="13" t="s">
        <v>89</v>
      </c>
      <c r="C14" s="22" t="s">
        <v>158</v>
      </c>
      <c r="D14" s="22" t="s">
        <v>158</v>
      </c>
      <c r="E14" s="18" t="str">
        <f>IF(C14=D14,"MATCH","MISMATCH")</f>
        <v>MATCH</v>
      </c>
      <c r="F14" s="23" t="s">
        <v>143</v>
      </c>
      <c r="G14" s="13" t="s">
        <v>3</v>
      </c>
      <c r="H14" s="16">
        <f>INDEX('Fee Switch-Off'!$G$5:$G$30,MATCH($A14,'Fee Switch-Off'!$A$5:$A$30,0))</f>
        <v>0.92</v>
      </c>
      <c r="I14" s="23" t="s">
        <v>144</v>
      </c>
      <c r="J14" s="23" t="s">
        <v>153</v>
      </c>
      <c r="K14" s="5" t="str">
        <f>IF(E14="MISMATCH","STOP: ID number does not match the work list",IF(F14="Yes","STOP: error 56000, an endorsement is already in progress",IF(H14=0,"SKIP: fee already 0.000","PROCEED: set VAT Inclusive fee to 0")))</f>
        <v>PROCEED: set VAT Inclusive fee to 0</v>
      </c>
      <c r="L14" s="5" t="str">
        <f>IF(LEFT(K14,7)="PROCEED","ACTIVE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14" s="5" t="str">
        <f>IF(LEFT(K14,7)&lt;&gt;"PROCEED","n/a",IF(I14="(blank)","Select Approved before Submit","Already Approved"))</f>
        <v>Already Approved</v>
      </c>
      <c r="N14" s="18" t="str">
        <f>IF(LEFT(K14,7)="PROCEED",J14,"n/a")</f>
        <v>30/07/2026</v>
      </c>
    </row>
    <row r="15" spans="1:14" x14ac:dyDescent="0.25">
      <c r="A15" s="13" t="s">
        <v>90</v>
      </c>
      <c r="B15" s="13" t="s">
        <v>91</v>
      </c>
      <c r="C15" s="22" t="s">
        <v>159</v>
      </c>
      <c r="D15" s="22" t="s">
        <v>159</v>
      </c>
      <c r="E15" s="18" t="str">
        <f>IF(C15=D15,"MATCH","MISMATCH")</f>
        <v>MATCH</v>
      </c>
      <c r="F15" s="23" t="s">
        <v>143</v>
      </c>
      <c r="G15" s="13" t="s">
        <v>3</v>
      </c>
      <c r="H15" s="16">
        <f>INDEX('Fee Switch-Off'!$G$5:$G$30,MATCH($A15,'Fee Switch-Off'!$A$5:$A$30,0))</f>
        <v>1.725</v>
      </c>
      <c r="I15" s="23" t="s">
        <v>144</v>
      </c>
      <c r="J15" s="23" t="s">
        <v>36</v>
      </c>
      <c r="K15" s="5" t="str">
        <f>IF(E15="MISMATCH","STOP: ID number does not match the work list",IF(F15="Yes","STOP: error 56000, an endorsement is already in progress",IF(H15=0,"SKIP: fee already 0.000","PROCEED: set VAT Inclusive fee to 0")))</f>
        <v>PROCEED: set VAT Inclusive fee to 0</v>
      </c>
      <c r="L15" s="5" t="str">
        <f>IF(LEFT(K15,7)="PROCEED","ACTIVE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15" s="5" t="str">
        <f>IF(LEFT(K15,7)&lt;&gt;"PROCEED","n/a",IF(I15="(blank)","Select Approved before Submit","Already Approved"))</f>
        <v>Already Approved</v>
      </c>
      <c r="N15" s="18" t="str">
        <f>IF(LEFT(K15,7)="PROCEED",J15,"n/a")</f>
        <v>04/08/2026</v>
      </c>
    </row>
    <row r="16" spans="1:14" x14ac:dyDescent="0.25">
      <c r="A16" s="13" t="s">
        <v>92</v>
      </c>
      <c r="B16" s="13" t="s">
        <v>93</v>
      </c>
      <c r="C16" s="22" t="s">
        <v>160</v>
      </c>
      <c r="D16" s="22" t="s">
        <v>160</v>
      </c>
      <c r="E16" s="18" t="str">
        <f>IF(C16=D16,"MATCH","MISMATCH")</f>
        <v>MATCH</v>
      </c>
      <c r="F16" s="23" t="s">
        <v>143</v>
      </c>
      <c r="G16" s="13" t="s">
        <v>3</v>
      </c>
      <c r="H16" s="16">
        <f>INDEX('Fee Switch-Off'!$G$5:$G$30,MATCH($A16,'Fee Switch-Off'!$A$5:$A$30,0))</f>
        <v>0.345</v>
      </c>
      <c r="I16" s="23" t="s">
        <v>144</v>
      </c>
      <c r="J16" s="23" t="s">
        <v>146</v>
      </c>
      <c r="K16" s="5" t="str">
        <f>IF(E16="MISMATCH","STOP: ID number does not match the work list",IF(F16="Yes","STOP: error 56000, an endorsement is already in progress",IF(H16=0,"SKIP: fee already 0.000","PROCEED: set VAT Inclusive fee to 0")))</f>
        <v>PROCEED: set VAT Inclusive fee to 0</v>
      </c>
      <c r="L16" s="5" t="str">
        <f>IF(LEFT(K16,7)="PROCEED","ACTIVE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16" s="5" t="str">
        <f>IF(LEFT(K16,7)&lt;&gt;"PROCEED","n/a",IF(I16="(blank)","Select Approved before Submit","Already Approved"))</f>
        <v>Already Approved</v>
      </c>
      <c r="N16" s="18" t="str">
        <f>IF(LEFT(K16,7)="PROCEED",J16,"n/a")</f>
        <v>01/08/2026</v>
      </c>
    </row>
    <row r="17" spans="1:14" x14ac:dyDescent="0.25">
      <c r="A17" s="13" t="s">
        <v>94</v>
      </c>
      <c r="B17" s="13" t="s">
        <v>95</v>
      </c>
      <c r="C17" s="22" t="s">
        <v>161</v>
      </c>
      <c r="D17" s="22" t="s">
        <v>161</v>
      </c>
      <c r="E17" s="18" t="str">
        <f>IF(C17=D17,"MATCH","MISMATCH")</f>
        <v>MATCH</v>
      </c>
      <c r="F17" s="23" t="s">
        <v>143</v>
      </c>
      <c r="G17" s="13" t="s">
        <v>3</v>
      </c>
      <c r="H17" s="16">
        <f>INDEX('Fee Switch-Off'!$G$5:$G$30,MATCH($A17,'Fee Switch-Off'!$A$5:$A$30,0))</f>
        <v>0.805</v>
      </c>
      <c r="I17" s="23" t="s">
        <v>144</v>
      </c>
      <c r="J17" s="23" t="s">
        <v>149</v>
      </c>
      <c r="K17" s="5" t="str">
        <f>IF(E17="MISMATCH","STOP: ID number does not match the work list",IF(F17="Yes","STOP: error 56000, an endorsement is already in progress",IF(H17=0,"SKIP: fee already 0.000","PROCEED: set VAT Inclusive fee to 0")))</f>
        <v>PROCEED: set VAT Inclusive fee to 0</v>
      </c>
      <c r="L17" s="5" t="str">
        <f>IF(LEFT(K17,7)="PROCEED","ACTIVE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17" s="5" t="str">
        <f>IF(LEFT(K17,7)&lt;&gt;"PROCEED","n/a",IF(I17="(blank)","Select Approved before Submit","Already Approved"))</f>
        <v>Already Approved</v>
      </c>
      <c r="N17" s="18" t="str">
        <f>IF(LEFT(K17,7)="PROCEED",J17,"n/a")</f>
        <v>31/07/2026</v>
      </c>
    </row>
    <row r="18" spans="1:14" x14ac:dyDescent="0.25">
      <c r="A18" s="13" t="s">
        <v>96</v>
      </c>
      <c r="B18" s="13" t="s">
        <v>97</v>
      </c>
      <c r="C18" s="22" t="s">
        <v>162</v>
      </c>
      <c r="D18" s="22" t="s">
        <v>162</v>
      </c>
      <c r="E18" s="18" t="str">
        <f>IF(C18=D18,"MATCH","MISMATCH")</f>
        <v>MATCH</v>
      </c>
      <c r="F18" s="23" t="s">
        <v>143</v>
      </c>
      <c r="G18" s="13" t="s">
        <v>3</v>
      </c>
      <c r="H18" s="16">
        <f>INDEX('Fee Switch-Off'!$G$5:$G$30,MATCH($A18,'Fee Switch-Off'!$A$5:$A$30,0))</f>
        <v>1.265</v>
      </c>
      <c r="I18" s="23" t="s">
        <v>144</v>
      </c>
      <c r="J18" s="23" t="s">
        <v>151</v>
      </c>
      <c r="K18" s="5" t="str">
        <f>IF(E18="MISMATCH","STOP: ID number does not match the work list",IF(F18="Yes","STOP: error 56000, an endorsement is already in progress",IF(H18=0,"SKIP: fee already 0.000","PROCEED: set VAT Inclusive fee to 0")))</f>
        <v>PROCEED: set VAT Inclusive fee to 0</v>
      </c>
      <c r="L18" s="5" t="str">
        <f>IF(LEFT(K18,7)="PROCEED","ACTIVE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18" s="5" t="str">
        <f>IF(LEFT(K18,7)&lt;&gt;"PROCEED","n/a",IF(I18="(blank)","Select Approved before Submit","Already Approved"))</f>
        <v>Already Approved</v>
      </c>
      <c r="N18" s="18" t="str">
        <f>IF(LEFT(K18,7)="PROCEED",J18,"n/a")</f>
        <v>03/08/2026</v>
      </c>
    </row>
    <row r="19" spans="1:14" x14ac:dyDescent="0.25">
      <c r="A19" s="13" t="s">
        <v>98</v>
      </c>
      <c r="B19" s="13" t="s">
        <v>99</v>
      </c>
      <c r="C19" s="22" t="s">
        <v>163</v>
      </c>
      <c r="D19" s="22" t="s">
        <v>163</v>
      </c>
      <c r="E19" s="18" t="str">
        <f>IF(C19=D19,"MATCH","MISMATCH")</f>
        <v>MATCH</v>
      </c>
      <c r="F19" s="23" t="s">
        <v>143</v>
      </c>
      <c r="G19" s="13" t="s">
        <v>3</v>
      </c>
      <c r="H19" s="16">
        <f>INDEX('Fee Switch-Off'!$G$5:$G$30,MATCH($A19,'Fee Switch-Off'!$A$5:$A$30,0))</f>
        <v>0</v>
      </c>
      <c r="I19" s="23" t="s">
        <v>144</v>
      </c>
      <c r="J19" s="23" t="s">
        <v>153</v>
      </c>
      <c r="K19" s="5" t="str">
        <f>IF(E19="MISMATCH","STOP: ID number does not match the work list",IF(F19="Yes","STOP: error 56000, an endorsement is already in progress",IF(H19=0,"SKIP: fee already 0.000","PROCEED: set VAT Inclusive fee to 0")))</f>
        <v>SKIP: fee already 0.000</v>
      </c>
      <c r="L19" s="5" t="str">
        <f>IF(LEFT(K19,7)="PROCEED","ACTIVE POLICY &gt; DRAFT ENDORSEMENT QUOTE &gt; FINAL ENDORSEMENT QUOTE (Submitted) &gt; Approved Endorsed Quote","No endorsement is raised")</f>
        <v>No endorsement is raised</v>
      </c>
      <c r="M19" s="5" t="str">
        <f>IF(LEFT(K19,7)&lt;&gt;"PROCEED","n/a",IF(I19="(blank)","Select Approved before Submit","Already Approved"))</f>
        <v>n/a</v>
      </c>
      <c r="N19" s="18" t="str">
        <f>IF(LEFT(K19,7)="PROCEED",J19,"n/a")</f>
        <v>n/a</v>
      </c>
    </row>
    <row r="20" spans="1:14" x14ac:dyDescent="0.25">
      <c r="A20" s="13" t="s">
        <v>101</v>
      </c>
      <c r="B20" s="13" t="s">
        <v>102</v>
      </c>
      <c r="C20" s="22" t="s">
        <v>164</v>
      </c>
      <c r="D20" s="22" t="s">
        <v>164</v>
      </c>
      <c r="E20" s="18" t="str">
        <f>IF(C20=D20,"MATCH","MISMATCH")</f>
        <v>MATCH</v>
      </c>
      <c r="F20" s="23" t="s">
        <v>143</v>
      </c>
      <c r="G20" s="13" t="s">
        <v>3</v>
      </c>
      <c r="H20" s="16">
        <f>INDEX('Fee Switch-Off'!$G$5:$G$30,MATCH($A20,'Fee Switch-Off'!$A$5:$A$30,0))</f>
        <v>0</v>
      </c>
      <c r="I20" s="23" t="s">
        <v>144</v>
      </c>
      <c r="J20" s="23" t="s">
        <v>36</v>
      </c>
      <c r="K20" s="5" t="str">
        <f>IF(E20="MISMATCH","STOP: ID number does not match the work list",IF(F20="Yes","STOP: error 56000, an endorsement is already in progress",IF(H20=0,"SKIP: fee already 0.000","PROCEED: set VAT Inclusive fee to 0")))</f>
        <v>SKIP: fee already 0.000</v>
      </c>
      <c r="L20" s="5" t="str">
        <f>IF(LEFT(K20,7)="PROCEED","ACTIVE POLICY &gt; DRAFT ENDORSEMENT QUOTE &gt; FINAL ENDORSEMENT QUOTE (Submitted) &gt; Approved Endorsed Quote","No endorsement is raised")</f>
        <v>No endorsement is raised</v>
      </c>
      <c r="M20" s="5" t="str">
        <f>IF(LEFT(K20,7)&lt;&gt;"PROCEED","n/a",IF(I20="(blank)","Select Approved before Submit","Already Approved"))</f>
        <v>n/a</v>
      </c>
      <c r="N20" s="18" t="str">
        <f>IF(LEFT(K20,7)="PROCEED",J20,"n/a")</f>
        <v>n/a</v>
      </c>
    </row>
    <row r="21" spans="1:14" x14ac:dyDescent="0.25">
      <c r="A21" s="13" t="s">
        <v>103</v>
      </c>
      <c r="B21" s="13" t="s">
        <v>104</v>
      </c>
      <c r="C21" s="22" t="s">
        <v>165</v>
      </c>
      <c r="D21" s="22" t="s">
        <v>165</v>
      </c>
      <c r="E21" s="18" t="str">
        <f>IF(C21=D21,"MATCH","MISMATCH")</f>
        <v>MATCH</v>
      </c>
      <c r="F21" s="23" t="s">
        <v>143</v>
      </c>
      <c r="G21" s="13" t="s">
        <v>3</v>
      </c>
      <c r="H21" s="16">
        <f>INDEX('Fee Switch-Off'!$G$5:$G$30,MATCH($A21,'Fee Switch-Off'!$A$5:$A$30,0))</f>
        <v>0</v>
      </c>
      <c r="I21" s="23" t="s">
        <v>144</v>
      </c>
      <c r="J21" s="23" t="s">
        <v>146</v>
      </c>
      <c r="K21" s="5" t="str">
        <f>IF(E21="MISMATCH","STOP: ID number does not match the work list",IF(F21="Yes","STOP: error 56000, an endorsement is already in progress",IF(H21=0,"SKIP: fee already 0.000","PROCEED: set VAT Inclusive fee to 0")))</f>
        <v>SKIP: fee already 0.000</v>
      </c>
      <c r="L21" s="5" t="str">
        <f>IF(LEFT(K21,7)="PROCEED","ACTIVE POLICY &gt; DRAFT ENDORSEMENT QUOTE &gt; FINAL ENDORSEMENT QUOTE (Submitted) &gt; Approved Endorsed Quote","No endorsement is raised")</f>
        <v>No endorsement is raised</v>
      </c>
      <c r="M21" s="5" t="str">
        <f>IF(LEFT(K21,7)&lt;&gt;"PROCEED","n/a",IF(I21="(blank)","Select Approved before Submit","Already Approved"))</f>
        <v>n/a</v>
      </c>
      <c r="N21" s="18" t="str">
        <f>IF(LEFT(K21,7)="PROCEED",J21,"n/a")</f>
        <v>n/a</v>
      </c>
    </row>
    <row r="22" spans="1:14" x14ac:dyDescent="0.25">
      <c r="A22" s="13" t="s">
        <v>105</v>
      </c>
      <c r="B22" s="13" t="s">
        <v>106</v>
      </c>
      <c r="C22" s="22" t="s">
        <v>166</v>
      </c>
      <c r="D22" s="22" t="s">
        <v>166</v>
      </c>
      <c r="E22" s="18" t="str">
        <f>IF(C22=D22,"MATCH","MISMATCH")</f>
        <v>MATCH</v>
      </c>
      <c r="F22" s="23" t="s">
        <v>167</v>
      </c>
      <c r="G22" s="13" t="s">
        <v>168</v>
      </c>
      <c r="H22" s="16">
        <f>INDEX('Fee Switch-Off'!$G$5:$G$30,MATCH($A22,'Fee Switch-Off'!$A$5:$A$30,0))</f>
        <v>0.575</v>
      </c>
      <c r="I22" s="23" t="s">
        <v>144</v>
      </c>
      <c r="J22" s="23" t="s">
        <v>149</v>
      </c>
      <c r="K22" s="5" t="str">
        <f>IF(E22="MISMATCH","STOP: ID number does not match the work list",IF(F22="Yes","STOP: error 56000, an endorsement is already in progress",IF(H22=0,"SKIP: fee already 0.000","PROCEED: set VAT Inclusive fee to 0")))</f>
        <v>STOP: error 56000, an endorsement is already in progress</v>
      </c>
      <c r="L22" s="5" t="str">
        <f>IF(LEFT(K22,7)="PROCEED","ACTIVE POLICY &gt; DRAFT ENDORSEMENT QUOTE &gt; FINAL ENDORSEMENT QUOTE (Submitted) &gt; Approved Endorsed Quote","No endorsement is raised")</f>
        <v>No endorsement is raised</v>
      </c>
      <c r="M22" s="5" t="str">
        <f>IF(LEFT(K22,7)&lt;&gt;"PROCEED","n/a",IF(I22="(blank)","Select Approved before Submit","Already Approved"))</f>
        <v>n/a</v>
      </c>
      <c r="N22" s="18" t="str">
        <f>IF(LEFT(K22,7)="PROCEED",J22,"n/a")</f>
        <v>n/a</v>
      </c>
    </row>
    <row r="23" spans="1:14" x14ac:dyDescent="0.25">
      <c r="A23" s="13" t="s">
        <v>108</v>
      </c>
      <c r="B23" s="13" t="s">
        <v>109</v>
      </c>
      <c r="C23" s="22" t="s">
        <v>169</v>
      </c>
      <c r="D23" s="22" t="s">
        <v>169</v>
      </c>
      <c r="E23" s="18" t="str">
        <f>IF(C23=D23,"MATCH","MISMATCH")</f>
        <v>MATCH</v>
      </c>
      <c r="F23" s="23" t="s">
        <v>167</v>
      </c>
      <c r="G23" s="13" t="s">
        <v>170</v>
      </c>
      <c r="H23" s="16">
        <f>INDEX('Fee Switch-Off'!$G$5:$G$30,MATCH($A23,'Fee Switch-Off'!$A$5:$A$30,0))</f>
        <v>1.15</v>
      </c>
      <c r="I23" s="23" t="s">
        <v>144</v>
      </c>
      <c r="J23" s="23" t="s">
        <v>151</v>
      </c>
      <c r="K23" s="5" t="str">
        <f>IF(E23="MISMATCH","STOP: ID number does not match the work list",IF(F23="Yes","STOP: error 56000, an endorsement is already in progress",IF(H23=0,"SKIP: fee already 0.000","PROCEED: set VAT Inclusive fee to 0")))</f>
        <v>STOP: error 56000, an endorsement is already in progress</v>
      </c>
      <c r="L23" s="5" t="str">
        <f>IF(LEFT(K23,7)="PROCEED","ACTIVE POLICY &gt; DRAFT ENDORSEMENT QUOTE &gt; FINAL ENDORSEMENT QUOTE (Submitted) &gt; Approved Endorsed Quote","No endorsement is raised")</f>
        <v>No endorsement is raised</v>
      </c>
      <c r="M23" s="5" t="str">
        <f>IF(LEFT(K23,7)&lt;&gt;"PROCEED","n/a",IF(I23="(blank)","Select Approved before Submit","Already Approved"))</f>
        <v>n/a</v>
      </c>
      <c r="N23" s="18" t="str">
        <f>IF(LEFT(K23,7)="PROCEED",J23,"n/a")</f>
        <v>n/a</v>
      </c>
    </row>
    <row r="24" spans="1:14" x14ac:dyDescent="0.25">
      <c r="A24" s="13" t="s">
        <v>111</v>
      </c>
      <c r="B24" s="13" t="s">
        <v>112</v>
      </c>
      <c r="C24" s="22" t="s">
        <v>171</v>
      </c>
      <c r="D24" s="22" t="s">
        <v>172</v>
      </c>
      <c r="E24" s="18" t="str">
        <f>IF(C24=D24,"MATCH","MISMATCH")</f>
        <v>MISMATCH</v>
      </c>
      <c r="F24" s="23" t="s">
        <v>143</v>
      </c>
      <c r="G24" s="13" t="s">
        <v>3</v>
      </c>
      <c r="H24" s="16">
        <f>INDEX('Fee Switch-Off'!$G$5:$G$30,MATCH($A24,'Fee Switch-Off'!$A$5:$A$30,0))</f>
        <v>1.15</v>
      </c>
      <c r="I24" s="23" t="s">
        <v>144</v>
      </c>
      <c r="J24" s="23" t="s">
        <v>153</v>
      </c>
      <c r="K24" s="5" t="str">
        <f>IF(E24="MISMATCH","STOP: ID number does not match the work list",IF(F24="Yes","STOP: error 56000, an endorsement is already in progress",IF(H24=0,"SKIP: fee already 0.000","PROCEED: set VAT Inclusive fee to 0")))</f>
        <v>STOP: ID number does not match the work list</v>
      </c>
      <c r="L24" s="5" t="str">
        <f>IF(LEFT(K24,7)="PROCEED","ACTIVE POLICY &gt; DRAFT ENDORSEMENT QUOTE &gt; FINAL ENDORSEMENT QUOTE (Submitted) &gt; Approved Endorsed Quote","No endorsement is raised")</f>
        <v>No endorsement is raised</v>
      </c>
      <c r="M24" s="5" t="str">
        <f>IF(LEFT(K24,7)&lt;&gt;"PROCEED","n/a",IF(I24="(blank)","Select Approved before Submit","Already Approved"))</f>
        <v>n/a</v>
      </c>
      <c r="N24" s="18" t="str">
        <f>IF(LEFT(K24,7)="PROCEED",J24,"n/a")</f>
        <v>n/a</v>
      </c>
    </row>
    <row r="25" spans="1:14" x14ac:dyDescent="0.25">
      <c r="A25" s="13" t="s">
        <v>114</v>
      </c>
      <c r="B25" s="13" t="s">
        <v>115</v>
      </c>
      <c r="C25" s="22" t="s">
        <v>173</v>
      </c>
      <c r="D25" s="22" t="s">
        <v>173</v>
      </c>
      <c r="E25" s="18" t="str">
        <f>IF(C25=D25,"MATCH","MISMATCH")</f>
        <v>MATCH</v>
      </c>
      <c r="F25" s="23" t="s">
        <v>143</v>
      </c>
      <c r="G25" s="13" t="s">
        <v>3</v>
      </c>
      <c r="H25" s="16">
        <f>INDEX('Fee Switch-Off'!$G$5:$G$30,MATCH($A25,'Fee Switch-Off'!$A$5:$A$30,0))</f>
        <v>0.575</v>
      </c>
      <c r="I25" s="23" t="s">
        <v>148</v>
      </c>
      <c r="J25" s="23" t="s">
        <v>36</v>
      </c>
      <c r="K25" s="5" t="str">
        <f>IF(E25="MISMATCH","STOP: ID number does not match the work list",IF(F25="Yes","STOP: error 56000, an endorsement is already in progress",IF(H25=0,"SKIP: fee already 0.000","PROCEED: set VAT Inclusive fee to 0")))</f>
        <v>PROCEED: set VAT Inclusive fee to 0</v>
      </c>
      <c r="L25" s="5" t="str">
        <f>IF(LEFT(K25,7)="PROCEED","ACTIVE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25" s="5" t="str">
        <f>IF(LEFT(K25,7)&lt;&gt;"PROCEED","n/a",IF(I25="(blank)","Select Approved before Submit","Already Approved"))</f>
        <v>Select Approved before Submit</v>
      </c>
      <c r="N25" s="18" t="str">
        <f>IF(LEFT(K25,7)="PROCEED",J25,"n/a")</f>
        <v>04/08/2026</v>
      </c>
    </row>
    <row r="26" spans="1:14" x14ac:dyDescent="0.25">
      <c r="A26" s="13" t="s">
        <v>117</v>
      </c>
      <c r="B26" s="13" t="s">
        <v>118</v>
      </c>
      <c r="C26" s="22" t="s">
        <v>174</v>
      </c>
      <c r="D26" s="22" t="s">
        <v>174</v>
      </c>
      <c r="E26" s="18" t="str">
        <f>IF(C26=D26,"MATCH","MISMATCH")</f>
        <v>MATCH</v>
      </c>
      <c r="F26" s="23" t="s">
        <v>143</v>
      </c>
      <c r="G26" s="13" t="s">
        <v>3</v>
      </c>
      <c r="H26" s="16">
        <f>INDEX('Fee Switch-Off'!$G$5:$G$30,MATCH($A26,'Fee Switch-Off'!$A$5:$A$30,0))</f>
        <v>1.15</v>
      </c>
      <c r="I26" s="23" t="s">
        <v>148</v>
      </c>
      <c r="J26" s="23" t="s">
        <v>146</v>
      </c>
      <c r="K26" s="5" t="str">
        <f>IF(E26="MISMATCH","STOP: ID number does not match the work list",IF(F26="Yes","STOP: error 56000, an endorsement is already in progress",IF(H26=0,"SKIP: fee already 0.000","PROCEED: set VAT Inclusive fee to 0")))</f>
        <v>PROCEED: set VAT Inclusive fee to 0</v>
      </c>
      <c r="L26" s="5" t="str">
        <f>IF(LEFT(K26,7)="PROCEED","ACTIVE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26" s="5" t="str">
        <f>IF(LEFT(K26,7)&lt;&gt;"PROCEED","n/a",IF(I26="(blank)","Select Approved before Submit","Already Approved"))</f>
        <v>Select Approved before Submit</v>
      </c>
      <c r="N26" s="18" t="str">
        <f>IF(LEFT(K26,7)="PROCEED",J26,"n/a")</f>
        <v>01/08/2026</v>
      </c>
    </row>
    <row r="27" spans="1:14" x14ac:dyDescent="0.25">
      <c r="A27" s="13" t="s">
        <v>119</v>
      </c>
      <c r="B27" s="13" t="s">
        <v>120</v>
      </c>
      <c r="C27" s="22" t="s">
        <v>175</v>
      </c>
      <c r="D27" s="22" t="s">
        <v>175</v>
      </c>
      <c r="E27" s="18" t="str">
        <f>IF(C27=D27,"MATCH","MISMATCH")</f>
        <v>MATCH</v>
      </c>
      <c r="F27" s="23" t="s">
        <v>143</v>
      </c>
      <c r="G27" s="13" t="s">
        <v>3</v>
      </c>
      <c r="H27" s="16">
        <f>INDEX('Fee Switch-Off'!$G$5:$G$30,MATCH($A27,'Fee Switch-Off'!$A$5:$A$30,0))</f>
        <v>1.15</v>
      </c>
      <c r="I27" s="23" t="s">
        <v>144</v>
      </c>
      <c r="J27" s="23" t="s">
        <v>149</v>
      </c>
      <c r="K27" s="5" t="str">
        <f>IF(E27="MISMATCH","STOP: ID number does not match the work list",IF(F27="Yes","STOP: error 56000, an endorsement is already in progress",IF(H27=0,"SKIP: fee already 0.000","PROCEED: set VAT Inclusive fee to 0")))</f>
        <v>PROCEED: set VAT Inclusive fee to 0</v>
      </c>
      <c r="L27" s="5" t="str">
        <f>IF(LEFT(K27,7)="PROCEED","ACTIVE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27" s="5" t="str">
        <f>IF(LEFT(K27,7)&lt;&gt;"PROCEED","n/a",IF(I27="(blank)","Select Approved before Submit","Already Approved"))</f>
        <v>Already Approved</v>
      </c>
      <c r="N27" s="18" t="str">
        <f>IF(LEFT(K27,7)="PROCEED",J27,"n/a")</f>
        <v>31/07/2026</v>
      </c>
    </row>
    <row r="28" spans="1:14" x14ac:dyDescent="0.25">
      <c r="A28" s="13" t="s">
        <v>122</v>
      </c>
      <c r="B28" s="13" t="s">
        <v>123</v>
      </c>
      <c r="C28" s="22" t="s">
        <v>176</v>
      </c>
      <c r="D28" s="22" t="s">
        <v>176</v>
      </c>
      <c r="E28" s="18" t="str">
        <f>IF(C28=D28,"MATCH","MISMATCH")</f>
        <v>MATCH</v>
      </c>
      <c r="F28" s="23" t="s">
        <v>143</v>
      </c>
      <c r="G28" s="13" t="s">
        <v>3</v>
      </c>
      <c r="H28" s="16">
        <f>INDEX('Fee Switch-Off'!$G$5:$G$30,MATCH($A28,'Fee Switch-Off'!$A$5:$A$30,0))</f>
        <v>1.15</v>
      </c>
      <c r="I28" s="23" t="s">
        <v>144</v>
      </c>
      <c r="J28" s="23" t="s">
        <v>151</v>
      </c>
      <c r="K28" s="5" t="str">
        <f>IF(E28="MISMATCH","STOP: ID number does not match the work list",IF(F28="Yes","STOP: error 56000, an endorsement is already in progress",IF(H28=0,"SKIP: fee already 0.000","PROCEED: set VAT Inclusive fee to 0")))</f>
        <v>PROCEED: set VAT Inclusive fee to 0</v>
      </c>
      <c r="L28" s="5" t="str">
        <f>IF(LEFT(K28,7)="PROCEED","ACTIVE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28" s="5" t="str">
        <f>IF(LEFT(K28,7)&lt;&gt;"PROCEED","n/a",IF(I28="(blank)","Select Approved before Submit","Already Approved"))</f>
        <v>Already Approved</v>
      </c>
      <c r="N28" s="18" t="str">
        <f>IF(LEFT(K28,7)="PROCEED",J28,"n/a")</f>
        <v>03/08/2026</v>
      </c>
    </row>
    <row r="29" spans="1:14" x14ac:dyDescent="0.25">
      <c r="A29" s="13" t="s">
        <v>124</v>
      </c>
      <c r="B29" s="13" t="s">
        <v>125</v>
      </c>
      <c r="C29" s="22" t="s">
        <v>177</v>
      </c>
      <c r="D29" s="22" t="s">
        <v>177</v>
      </c>
      <c r="E29" s="18" t="str">
        <f>IF(C29=D29,"MATCH","MISMATCH")</f>
        <v>MATCH</v>
      </c>
      <c r="F29" s="23" t="s">
        <v>143</v>
      </c>
      <c r="G29" s="13" t="s">
        <v>3</v>
      </c>
      <c r="H29" s="16">
        <f>INDEX('Fee Switch-Off'!$G$5:$G$30,MATCH($A29,'Fee Switch-Off'!$A$5:$A$30,0))</f>
        <v>0.575</v>
      </c>
      <c r="I29" s="23" t="s">
        <v>144</v>
      </c>
      <c r="J29" s="23" t="s">
        <v>153</v>
      </c>
      <c r="K29" s="5" t="str">
        <f>IF(E29="MISMATCH","STOP: ID number does not match the work list",IF(F29="Yes","STOP: error 56000, an endorsement is already in progress",IF(H29=0,"SKIP: fee already 0.000","PROCEED: set VAT Inclusive fee to 0")))</f>
        <v>PROCEED: set VAT Inclusive fee to 0</v>
      </c>
      <c r="L29" s="5" t="str">
        <f>IF(LEFT(K29,7)="PROCEED","ACTIVE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29" s="5" t="str">
        <f>IF(LEFT(K29,7)&lt;&gt;"PROCEED","n/a",IF(I29="(blank)","Select Approved before Submit","Already Approved"))</f>
        <v>Already Approved</v>
      </c>
      <c r="N29" s="18" t="str">
        <f>IF(LEFT(K29,7)="PROCEED",J29,"n/a")</f>
        <v>30/07/2026</v>
      </c>
    </row>
    <row r="30" spans="1:14" x14ac:dyDescent="0.25">
      <c r="A30" s="13" t="s">
        <v>126</v>
      </c>
      <c r="B30" s="13" t="s">
        <v>127</v>
      </c>
      <c r="C30" s="22" t="s">
        <v>178</v>
      </c>
      <c r="D30" s="22" t="s">
        <v>178</v>
      </c>
      <c r="E30" s="18" t="str">
        <f>IF(C30=D30,"MATCH","MISMATCH")</f>
        <v>MATCH</v>
      </c>
      <c r="F30" s="23" t="s">
        <v>143</v>
      </c>
      <c r="G30" s="13" t="s">
        <v>3</v>
      </c>
      <c r="H30" s="16">
        <f>INDEX('Fee Switch-Off'!$G$5:$G$30,MATCH($A30,'Fee Switch-Off'!$A$5:$A$30,0))</f>
        <v>1.15</v>
      </c>
      <c r="I30" s="23" t="s">
        <v>144</v>
      </c>
      <c r="J30" s="23" t="s">
        <v>36</v>
      </c>
      <c r="K30" s="5" t="str">
        <f>IF(E30="MISMATCH","STOP: ID number does not match the work list",IF(F30="Yes","STOP: error 56000, an endorsement is already in progress",IF(H30=0,"SKIP: fee already 0.000","PROCEED: set VAT Inclusive fee to 0")))</f>
        <v>PROCEED: set VAT Inclusive fee to 0</v>
      </c>
      <c r="L30" s="5" t="str">
        <f>IF(LEFT(K30,7)="PROCEED","ACTIVE POLICY &gt; DRAFT ENDORSEMENT QUOTE &gt; FINAL ENDORSEMENT QUOTE (Submitted) &gt; Approved Endorsed Quote","No endorsement is raised")</f>
        <v>ACTIVE POLICY &gt; DRAFT ENDORSEMENT QUOTE &gt; FINAL ENDORSEMENT QUOTE (Submitted) &gt; Approved Endorsed Quote</v>
      </c>
      <c r="M30" s="5" t="str">
        <f>IF(LEFT(K30,7)&lt;&gt;"PROCEED","n/a",IF(I30="(blank)","Select Approved before Submit","Already Approved"))</f>
        <v>Already Approved</v>
      </c>
      <c r="N30" s="18" t="str">
        <f>IF(LEFT(K30,7)="PROCEED",J30,"n/a")</f>
        <v>04/08/2026</v>
      </c>
    </row>
    <row r="32" spans="1:1" x14ac:dyDescent="0.25">
      <c r="A32" s="19" t="s">
        <v>179</v>
      </c>
    </row>
    <row r="33" spans="2:3" x14ac:dyDescent="0.25">
      <c r="B33" s="5" t="s">
        <v>180</v>
      </c>
      <c r="C33" s="21">
        <f>COUNTIF($K$5:$K$30,"PROCEED*")</f>
        <v>20</v>
      </c>
    </row>
    <row r="34" spans="2:3" x14ac:dyDescent="0.25">
      <c r="B34" s="5" t="s">
        <v>181</v>
      </c>
      <c r="C34" s="21">
        <f>COUNTIF($K$5:$K$30,"SKIP*")</f>
        <v>3</v>
      </c>
    </row>
    <row r="35" spans="2:3" x14ac:dyDescent="0.25">
      <c r="B35" s="5" t="s">
        <v>182</v>
      </c>
      <c r="C35" s="21">
        <f>COUNTIF($K$5:$K$30,"STOP*")</f>
        <v>3</v>
      </c>
    </row>
  </sheetData>
  <autoFilter ref="A4:N30"/>
  <conditionalFormatting sqref="K5:K30">
    <cfRule type="containsText" dxfId="0" priority="1">
      <formula>NOT(ISERROR(SEARCH("STOP",K5)))</formula>
    </cfRule>
    <cfRule type="containsText" dxfId="1" priority="2">
      <formula>NOT(ISERROR(SEARCH("SKIP",K5)))</formula>
    </cfRule>
    <cfRule type="containsText" dxfId="2" priority="3">
      <formula>NOT(ISERROR(SEARCH("PROCEED",K5)))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75B5"/>
  </sheetPr>
  <dimension ref="A1:L19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24" customWidth="1"/>
    <col min="3" max="3" width="26" customWidth="1"/>
    <col min="4" max="4" width="15" customWidth="1"/>
    <col min="5" max="9" width="14" customWidth="1"/>
    <col min="10" max="12" width="15" customWidth="1"/>
  </cols>
  <sheetData>
    <row r="1" spans="1:1" x14ac:dyDescent="0.25">
      <c r="A1" s="4" t="s">
        <v>183</v>
      </c>
    </row>
    <row r="2" spans="1:1" x14ac:dyDescent="0.25">
      <c r="A2" s="7" t="s">
        <v>184</v>
      </c>
    </row>
    <row r="4" ht="48" customHeight="1" spans="1:12" x14ac:dyDescent="0.25">
      <c r="A4" s="11" t="s">
        <v>52</v>
      </c>
      <c r="B4" s="11" t="s">
        <v>53</v>
      </c>
      <c r="C4" s="11" t="s">
        <v>185</v>
      </c>
      <c r="D4" s="11" t="s">
        <v>56</v>
      </c>
      <c r="E4" s="12" t="s">
        <v>58</v>
      </c>
      <c r="F4" s="12" t="s">
        <v>186</v>
      </c>
      <c r="G4" s="12" t="s">
        <v>187</v>
      </c>
      <c r="H4" s="12" t="s">
        <v>62</v>
      </c>
      <c r="I4" s="12" t="s">
        <v>63</v>
      </c>
      <c r="J4" s="12" t="s">
        <v>188</v>
      </c>
      <c r="K4" s="12" t="s">
        <v>64</v>
      </c>
      <c r="L4" s="12" t="s">
        <v>189</v>
      </c>
    </row>
    <row r="5" spans="1:12" x14ac:dyDescent="0.25">
      <c r="A5" s="13" t="s">
        <v>67</v>
      </c>
      <c r="B5" s="5" t="str">
        <f>INDEX('Fee Switch-Off'!$B$5:$B$30,MATCH($A5,'Fee Switch-Off'!$A$5:$A$30,0))</f>
        <v>NOKUTHULA MAHLOBO</v>
      </c>
      <c r="C5" s="13" t="s">
        <v>190</v>
      </c>
      <c r="D5" s="17">
        <f>INDEX('Fee Switch-Off'!$E$5:$E$30,MATCH($A5,'Fee Switch-Off'!$A$5:$A$30,0))</f>
        <v>4323.48</v>
      </c>
      <c r="E5" s="16">
        <f>INDEX('Fee Switch-Off'!$G$5:$G$30,MATCH($A5,'Fee Switch-Off'!$A$5:$A$30,0))</f>
        <v>0.575</v>
      </c>
      <c r="F5" s="9">
        <v>50</v>
      </c>
      <c r="G5" s="24">
        <f>100-F5</f>
        <v>50</v>
      </c>
      <c r="H5" s="16">
        <f>ROUNDDOWN(E5*F5/100+1E-9,3)</f>
        <v>0.287</v>
      </c>
      <c r="I5" s="16">
        <f>ROUND(H5/Assumptions!$B$3+1E-9,3)</f>
        <v>0.25</v>
      </c>
      <c r="J5" s="17">
        <f>ROUND(D5*E5/100+1E-9,2)</f>
        <v>24.86</v>
      </c>
      <c r="K5" s="17">
        <f>ROUND(D5*H5/100+1E-9,2)</f>
        <v>12.41</v>
      </c>
      <c r="L5" s="17">
        <f>J5-K5</f>
        <v>12.45</v>
      </c>
    </row>
    <row r="6" spans="1:12" x14ac:dyDescent="0.25">
      <c r="A6" s="13" t="s">
        <v>67</v>
      </c>
      <c r="B6" s="5" t="str">
        <f>INDEX('Fee Switch-Off'!$B$5:$B$30,MATCH($A6,'Fee Switch-Off'!$A$5:$A$30,0))</f>
        <v>NOKUTHULA MAHLOBO</v>
      </c>
      <c r="C6" s="13" t="s">
        <v>191</v>
      </c>
      <c r="D6" s="17">
        <f>INDEX('Fee Switch-Off'!$E$5:$E$30,MATCH($A6,'Fee Switch-Off'!$A$5:$A$30,0))</f>
        <v>4323.48</v>
      </c>
      <c r="E6" s="16">
        <f>INDEX('Fee Switch-Off'!$G$5:$G$30,MATCH($A6,'Fee Switch-Off'!$A$5:$A$30,0))</f>
        <v>0.575</v>
      </c>
      <c r="F6" s="9">
        <v>60</v>
      </c>
      <c r="G6" s="24">
        <f>100-F6</f>
        <v>40</v>
      </c>
      <c r="H6" s="16">
        <f>ROUNDDOWN(E6*F6/100+1E-9,3)</f>
        <v>0.345</v>
      </c>
      <c r="I6" s="16">
        <f>ROUND(H6/Assumptions!$B$3+1E-9,3)</f>
        <v>0.3</v>
      </c>
      <c r="J6" s="17">
        <f>ROUND(D6*E6/100+1E-9,2)</f>
        <v>24.86</v>
      </c>
      <c r="K6" s="17">
        <f>ROUND(D6*H6/100+1E-9,2)</f>
        <v>14.92</v>
      </c>
      <c r="L6" s="17">
        <f>J6-K6</f>
        <v>9.94</v>
      </c>
    </row>
    <row r="7" spans="1:12" x14ac:dyDescent="0.25">
      <c r="A7" s="13" t="s">
        <v>71</v>
      </c>
      <c r="B7" s="5" t="str">
        <f>INDEX('Fee Switch-Off'!$B$5:$B$30,MATCH($A7,'Fee Switch-Off'!$A$5:$A$30,0))</f>
        <v>SIPHO KHUMALO</v>
      </c>
      <c r="C7" s="13" t="s">
        <v>192</v>
      </c>
      <c r="D7" s="17">
        <f>INDEX('Fee Switch-Off'!$E$5:$E$30,MATCH($A7,'Fee Switch-Off'!$A$5:$A$30,0))</f>
        <v>84450</v>
      </c>
      <c r="E7" s="16">
        <f>INDEX('Fee Switch-Off'!$G$5:$G$30,MATCH($A7,'Fee Switch-Off'!$A$5:$A$30,0))</f>
        <v>1.15</v>
      </c>
      <c r="F7" s="9">
        <v>50</v>
      </c>
      <c r="G7" s="24">
        <f>100-F7</f>
        <v>50</v>
      </c>
      <c r="H7" s="16">
        <f>ROUNDDOWN(E7*F7/100+1E-9,3)</f>
        <v>0.575</v>
      </c>
      <c r="I7" s="16">
        <f>ROUND(H7/Assumptions!$B$3+1E-9,3)</f>
        <v>0.5</v>
      </c>
      <c r="J7" s="17">
        <f>ROUND(D7*E7/100+1E-9,2)</f>
        <v>971.18</v>
      </c>
      <c r="K7" s="17">
        <f>ROUND(D7*H7/100+1E-9,2)</f>
        <v>485.59</v>
      </c>
      <c r="L7" s="17">
        <f>J7-K7</f>
        <v>485.59</v>
      </c>
    </row>
    <row r="8" spans="1:12" x14ac:dyDescent="0.25">
      <c r="A8" s="13" t="s">
        <v>74</v>
      </c>
      <c r="B8" s="5" t="str">
        <f>INDEX('Fee Switch-Off'!$B$5:$B$30,MATCH($A8,'Fee Switch-Off'!$A$5:$A$30,0))</f>
        <v>THANDEKA ZULU</v>
      </c>
      <c r="C8" s="13" t="s">
        <v>192</v>
      </c>
      <c r="D8" s="17">
        <f>INDEX('Fee Switch-Off'!$E$5:$E$30,MATCH($A8,'Fee Switch-Off'!$A$5:$A$30,0))</f>
        <v>36074.16</v>
      </c>
      <c r="E8" s="16">
        <f>INDEX('Fee Switch-Off'!$G$5:$G$30,MATCH($A8,'Fee Switch-Off'!$A$5:$A$30,0))</f>
        <v>0.863</v>
      </c>
      <c r="F8" s="9">
        <v>50</v>
      </c>
      <c r="G8" s="24">
        <f>100-F8</f>
        <v>50</v>
      </c>
      <c r="H8" s="16">
        <f>ROUNDDOWN(E8*F8/100+1E-9,3)</f>
        <v>0.431</v>
      </c>
      <c r="I8" s="16">
        <f>ROUND(H8/Assumptions!$B$3+1E-9,3)</f>
        <v>0.375</v>
      </c>
      <c r="J8" s="17">
        <f>ROUND(D8*E8/100+1E-9,2)</f>
        <v>311.32</v>
      </c>
      <c r="K8" s="17">
        <f>ROUND(D8*H8/100+1E-9,2)</f>
        <v>155.48</v>
      </c>
      <c r="L8" s="17">
        <f>J8-K8</f>
        <v>155.84</v>
      </c>
    </row>
    <row r="9" spans="1:12" x14ac:dyDescent="0.25">
      <c r="A9" s="13" t="s">
        <v>76</v>
      </c>
      <c r="B9" s="5" t="str">
        <f>INDEX('Fee Switch-Off'!$B$5:$B$30,MATCH($A9,'Fee Switch-Off'!$A$5:$A$30,0))</f>
        <v>RIAAN STEYN</v>
      </c>
      <c r="C9" s="13" t="s">
        <v>192</v>
      </c>
      <c r="D9" s="17">
        <f>INDEX('Fee Switch-Off'!$E$5:$E$30,MATCH($A9,'Fee Switch-Off'!$A$5:$A$30,0))</f>
        <v>75665.4</v>
      </c>
      <c r="E9" s="16">
        <f>INDEX('Fee Switch-Off'!$G$5:$G$30,MATCH($A9,'Fee Switch-Off'!$A$5:$A$30,0))</f>
        <v>0.575</v>
      </c>
      <c r="F9" s="9">
        <v>50</v>
      </c>
      <c r="G9" s="24">
        <f>100-F9</f>
        <v>50</v>
      </c>
      <c r="H9" s="16">
        <f>ROUNDDOWN(E9*F9/100+1E-9,3)</f>
        <v>0.287</v>
      </c>
      <c r="I9" s="16">
        <f>ROUND(H9/Assumptions!$B$3+1E-9,3)</f>
        <v>0.25</v>
      </c>
      <c r="J9" s="17">
        <f>ROUND(D9*E9/100+1E-9,2)</f>
        <v>435.08</v>
      </c>
      <c r="K9" s="17">
        <f>ROUND(D9*H9/100+1E-9,2)</f>
        <v>217.16</v>
      </c>
      <c r="L9" s="17">
        <f>J9-K9</f>
        <v>217.92</v>
      </c>
    </row>
    <row r="10" spans="1:12" x14ac:dyDescent="0.25">
      <c r="A10" s="13" t="s">
        <v>78</v>
      </c>
      <c r="B10" s="5" t="str">
        <f>INDEX('Fee Switch-Off'!$B$5:$B$30,MATCH($A10,'Fee Switch-Off'!$A$5:$A$30,0))</f>
        <v>AYESHA PATEL</v>
      </c>
      <c r="C10" s="13" t="s">
        <v>192</v>
      </c>
      <c r="D10" s="17">
        <f>INDEX('Fee Switch-Off'!$E$5:$E$30,MATCH($A10,'Fee Switch-Off'!$A$5:$A$30,0))</f>
        <v>92322.9</v>
      </c>
      <c r="E10" s="16">
        <f>INDEX('Fee Switch-Off'!$G$5:$G$30,MATCH($A10,'Fee Switch-Off'!$A$5:$A$30,0))</f>
        <v>1.438</v>
      </c>
      <c r="F10" s="9">
        <v>50</v>
      </c>
      <c r="G10" s="24">
        <f>100-F10</f>
        <v>50</v>
      </c>
      <c r="H10" s="16">
        <f>ROUNDDOWN(E10*F10/100+1E-9,3)</f>
        <v>0.719</v>
      </c>
      <c r="I10" s="16">
        <f>ROUND(H10/Assumptions!$B$3+1E-9,3)</f>
        <v>0.625</v>
      </c>
      <c r="J10" s="17">
        <f>ROUND(D10*E10/100+1E-9,2)</f>
        <v>1327.6</v>
      </c>
      <c r="K10" s="17">
        <f>ROUND(D10*H10/100+1E-9,2)</f>
        <v>663.8</v>
      </c>
      <c r="L10" s="17">
        <f>J10-K10</f>
        <v>663.8</v>
      </c>
    </row>
    <row r="11" spans="1:12" x14ac:dyDescent="0.25">
      <c r="A11" s="13" t="s">
        <v>80</v>
      </c>
      <c r="B11" s="5" t="str">
        <f>INDEX('Fee Switch-Off'!$B$5:$B$30,MATCH($A11,'Fee Switch-Off'!$A$5:$A$30,0))</f>
        <v>KAGISO MOLEFE</v>
      </c>
      <c r="C11" s="13" t="s">
        <v>192</v>
      </c>
      <c r="D11" s="17">
        <f>INDEX('Fee Switch-Off'!$E$5:$E$30,MATCH($A11,'Fee Switch-Off'!$A$5:$A$30,0))</f>
        <v>30774.3</v>
      </c>
      <c r="E11" s="16">
        <f>INDEX('Fee Switch-Off'!$G$5:$G$30,MATCH($A11,'Fee Switch-Off'!$A$5:$A$30,0))</f>
        <v>1.15</v>
      </c>
      <c r="F11" s="9">
        <v>50</v>
      </c>
      <c r="G11" s="24">
        <f>100-F11</f>
        <v>50</v>
      </c>
      <c r="H11" s="16">
        <f>ROUNDDOWN(E11*F11/100+1E-9,3)</f>
        <v>0.575</v>
      </c>
      <c r="I11" s="16">
        <f>ROUND(H11/Assumptions!$B$3+1E-9,3)</f>
        <v>0.5</v>
      </c>
      <c r="J11" s="17">
        <f>ROUND(D11*E11/100+1E-9,2)</f>
        <v>353.9</v>
      </c>
      <c r="K11" s="17">
        <f>ROUND(D11*H11/100+1E-9,2)</f>
        <v>176.95</v>
      </c>
      <c r="L11" s="17">
        <f>J11-K11</f>
        <v>176.95</v>
      </c>
    </row>
    <row r="12" spans="1:12" x14ac:dyDescent="0.25">
      <c r="A12" s="13" t="s">
        <v>82</v>
      </c>
      <c r="B12" s="5" t="str">
        <f>INDEX('Fee Switch-Off'!$B$5:$B$30,MATCH($A12,'Fee Switch-Off'!$A$5:$A$30,0))</f>
        <v>CHARLENE ADAMS</v>
      </c>
      <c r="C12" s="13" t="s">
        <v>192</v>
      </c>
      <c r="D12" s="17">
        <f>INDEX('Fee Switch-Off'!$E$5:$E$30,MATCH($A12,'Fee Switch-Off'!$A$5:$A$30,0))</f>
        <v>18213.8</v>
      </c>
      <c r="E12" s="16">
        <f>INDEX('Fee Switch-Off'!$G$5:$G$30,MATCH($A12,'Fee Switch-Off'!$A$5:$A$30,0))</f>
        <v>0.69</v>
      </c>
      <c r="F12" s="9">
        <v>50</v>
      </c>
      <c r="G12" s="24">
        <f>100-F12</f>
        <v>50</v>
      </c>
      <c r="H12" s="16">
        <f>ROUNDDOWN(E12*F12/100+1E-9,3)</f>
        <v>0.345</v>
      </c>
      <c r="I12" s="16">
        <f>ROUND(H12/Assumptions!$B$3+1E-9,3)</f>
        <v>0.3</v>
      </c>
      <c r="J12" s="17">
        <f>ROUND(D12*E12/100+1E-9,2)</f>
        <v>125.68</v>
      </c>
      <c r="K12" s="17">
        <f>ROUND(D12*H12/100+1E-9,2)</f>
        <v>62.84</v>
      </c>
      <c r="L12" s="17">
        <f>J12-K12</f>
        <v>62.84</v>
      </c>
    </row>
    <row r="13" spans="1:12" x14ac:dyDescent="0.25">
      <c r="A13" s="13" t="s">
        <v>84</v>
      </c>
      <c r="B13" s="5" t="str">
        <f>INDEX('Fee Switch-Off'!$B$5:$B$30,MATCH($A13,'Fee Switch-Off'!$A$5:$A$30,0))</f>
        <v>BONGANI MAHLANGU</v>
      </c>
      <c r="C13" s="13" t="s">
        <v>192</v>
      </c>
      <c r="D13" s="17">
        <f>INDEX('Fee Switch-Off'!$E$5:$E$30,MATCH($A13,'Fee Switch-Off'!$A$5:$A$30,0))</f>
        <v>29646.4</v>
      </c>
      <c r="E13" s="16">
        <f>INDEX('Fee Switch-Off'!$G$5:$G$30,MATCH($A13,'Fee Switch-Off'!$A$5:$A$30,0))</f>
        <v>1.035</v>
      </c>
      <c r="F13" s="9">
        <v>50</v>
      </c>
      <c r="G13" s="24">
        <f>100-F13</f>
        <v>50</v>
      </c>
      <c r="H13" s="16">
        <f>ROUNDDOWN(E13*F13/100+1E-9,3)</f>
        <v>0.517</v>
      </c>
      <c r="I13" s="16">
        <f>ROUND(H13/Assumptions!$B$3+1E-9,3)</f>
        <v>0.45</v>
      </c>
      <c r="J13" s="17">
        <f>ROUND(D13*E13/100+1E-9,2)</f>
        <v>306.84</v>
      </c>
      <c r="K13" s="17">
        <f>ROUND(D13*H13/100+1E-9,2)</f>
        <v>153.27</v>
      </c>
      <c r="L13" s="17">
        <f>J13-K13</f>
        <v>153.57</v>
      </c>
    </row>
    <row r="14" spans="1:12" x14ac:dyDescent="0.25">
      <c r="A14" s="13" t="s">
        <v>86</v>
      </c>
      <c r="B14" s="5" t="str">
        <f>INDEX('Fee Switch-Off'!$B$5:$B$30,MATCH($A14,'Fee Switch-Off'!$A$5:$A$30,0))</f>
        <v>FATIMA OSMAN</v>
      </c>
      <c r="C14" s="13" t="s">
        <v>192</v>
      </c>
      <c r="D14" s="17">
        <f>INDEX('Fee Switch-Off'!$E$5:$E$30,MATCH($A14,'Fee Switch-Off'!$A$5:$A$30,0))</f>
        <v>149814</v>
      </c>
      <c r="E14" s="16">
        <f>INDEX('Fee Switch-Off'!$G$5:$G$30,MATCH($A14,'Fee Switch-Off'!$A$5:$A$30,0))</f>
        <v>0.46</v>
      </c>
      <c r="F14" s="9">
        <v>50</v>
      </c>
      <c r="G14" s="24">
        <f>100-F14</f>
        <v>50</v>
      </c>
      <c r="H14" s="16">
        <f>ROUNDDOWN(E14*F14/100+1E-9,3)</f>
        <v>0.23</v>
      </c>
      <c r="I14" s="16">
        <f>ROUND(H14/Assumptions!$B$3+1E-9,3)</f>
        <v>0.2</v>
      </c>
      <c r="J14" s="17">
        <f>ROUND(D14*E14/100+1E-9,2)</f>
        <v>689.14</v>
      </c>
      <c r="K14" s="17">
        <f>ROUND(D14*H14/100+1E-9,2)</f>
        <v>344.57</v>
      </c>
      <c r="L14" s="17">
        <f>J14-K14</f>
        <v>344.57</v>
      </c>
    </row>
    <row r="15" spans="1:12" x14ac:dyDescent="0.25">
      <c r="A15" s="13" t="s">
        <v>88</v>
      </c>
      <c r="B15" s="5" t="str">
        <f>INDEX('Fee Switch-Off'!$B$5:$B$30,MATCH($A15,'Fee Switch-Off'!$A$5:$A$30,0))</f>
        <v>ITUMELENG SELLO</v>
      </c>
      <c r="C15" s="13" t="s">
        <v>192</v>
      </c>
      <c r="D15" s="17">
        <f>INDEX('Fee Switch-Off'!$E$5:$E$30,MATCH($A15,'Fee Switch-Off'!$A$5:$A$30,0))</f>
        <v>88935.84</v>
      </c>
      <c r="E15" s="16">
        <f>INDEX('Fee Switch-Off'!$G$5:$G$30,MATCH($A15,'Fee Switch-Off'!$A$5:$A$30,0))</f>
        <v>0.92</v>
      </c>
      <c r="F15" s="9">
        <v>50</v>
      </c>
      <c r="G15" s="24">
        <f>100-F15</f>
        <v>50</v>
      </c>
      <c r="H15" s="16">
        <f>ROUNDDOWN(E15*F15/100+1E-9,3)</f>
        <v>0.46</v>
      </c>
      <c r="I15" s="16">
        <f>ROUND(H15/Assumptions!$B$3+1E-9,3)</f>
        <v>0.4</v>
      </c>
      <c r="J15" s="17">
        <f>ROUND(D15*E15/100+1E-9,2)</f>
        <v>818.21</v>
      </c>
      <c r="K15" s="17">
        <f>ROUND(D15*H15/100+1E-9,2)</f>
        <v>409.1</v>
      </c>
      <c r="L15" s="17">
        <f>J15-K15</f>
        <v>409.11</v>
      </c>
    </row>
    <row r="16" spans="1:12" x14ac:dyDescent="0.25">
      <c r="A16" s="13" t="s">
        <v>90</v>
      </c>
      <c r="B16" s="5" t="str">
        <f>INDEX('Fee Switch-Off'!$B$5:$B$30,MATCH($A16,'Fee Switch-Off'!$A$5:$A$30,0))</f>
        <v>CHANTEL VAN WYK</v>
      </c>
      <c r="C16" s="13" t="s">
        <v>192</v>
      </c>
      <c r="D16" s="17">
        <f>INDEX('Fee Switch-Off'!$E$5:$E$30,MATCH($A16,'Fee Switch-Off'!$A$5:$A$30,0))</f>
        <v>140507.5</v>
      </c>
      <c r="E16" s="16">
        <f>INDEX('Fee Switch-Off'!$G$5:$G$30,MATCH($A16,'Fee Switch-Off'!$A$5:$A$30,0))</f>
        <v>1.725</v>
      </c>
      <c r="F16" s="9">
        <v>50</v>
      </c>
      <c r="G16" s="24">
        <f>100-F16</f>
        <v>50</v>
      </c>
      <c r="H16" s="16">
        <f>ROUNDDOWN(E16*F16/100+1E-9,3)</f>
        <v>0.862</v>
      </c>
      <c r="I16" s="16">
        <f>ROUND(H16/Assumptions!$B$3+1E-9,3)</f>
        <v>0.75</v>
      </c>
      <c r="J16" s="17">
        <f>ROUND(D16*E16/100+1E-9,2)</f>
        <v>2423.75</v>
      </c>
      <c r="K16" s="17">
        <f>ROUND(D16*H16/100+1E-9,2)</f>
        <v>1211.17</v>
      </c>
      <c r="L16" s="17">
        <f>J16-K16</f>
        <v>1212.58</v>
      </c>
    </row>
    <row r="17" spans="1:12" x14ac:dyDescent="0.25">
      <c r="A17" s="13" t="s">
        <v>92</v>
      </c>
      <c r="B17" s="5" t="str">
        <f>INDEX('Fee Switch-Off'!$B$5:$B$30,MATCH($A17,'Fee Switch-Off'!$A$5:$A$30,0))</f>
        <v>MPHO DLAMINI</v>
      </c>
      <c r="C17" s="13" t="s">
        <v>192</v>
      </c>
      <c r="D17" s="17">
        <f>INDEX('Fee Switch-Off'!$E$5:$E$30,MATCH($A17,'Fee Switch-Off'!$A$5:$A$30,0))</f>
        <v>21021.72</v>
      </c>
      <c r="E17" s="16">
        <f>INDEX('Fee Switch-Off'!$G$5:$G$30,MATCH($A17,'Fee Switch-Off'!$A$5:$A$30,0))</f>
        <v>0.345</v>
      </c>
      <c r="F17" s="9">
        <v>50</v>
      </c>
      <c r="G17" s="24">
        <f>100-F17</f>
        <v>50</v>
      </c>
      <c r="H17" s="16">
        <f>ROUNDDOWN(E17*F17/100+1E-9,3)</f>
        <v>0.172</v>
      </c>
      <c r="I17" s="16">
        <f>ROUND(H17/Assumptions!$B$3+1E-9,3)</f>
        <v>0.15</v>
      </c>
      <c r="J17" s="17">
        <f>ROUND(D17*E17/100+1E-9,2)</f>
        <v>72.52</v>
      </c>
      <c r="K17" s="17">
        <f>ROUND(D17*H17/100+1E-9,2)</f>
        <v>36.16</v>
      </c>
      <c r="L17" s="17">
        <f>J17-K17</f>
        <v>36.36</v>
      </c>
    </row>
    <row r="18" spans="1:12" x14ac:dyDescent="0.25">
      <c r="A18" s="13" t="s">
        <v>94</v>
      </c>
      <c r="B18" s="5" t="str">
        <f>INDEX('Fee Switch-Off'!$B$5:$B$30,MATCH($A18,'Fee Switch-Off'!$A$5:$A$30,0))</f>
        <v>NOMVULA TSHABALALA</v>
      </c>
      <c r="C18" s="13" t="s">
        <v>192</v>
      </c>
      <c r="D18" s="17">
        <f>INDEX('Fee Switch-Off'!$E$5:$E$30,MATCH($A18,'Fee Switch-Off'!$A$5:$A$30,0))</f>
        <v>132096</v>
      </c>
      <c r="E18" s="16">
        <f>INDEX('Fee Switch-Off'!$G$5:$G$30,MATCH($A18,'Fee Switch-Off'!$A$5:$A$30,0))</f>
        <v>0.805</v>
      </c>
      <c r="F18" s="9">
        <v>50</v>
      </c>
      <c r="G18" s="24">
        <f>100-F18</f>
        <v>50</v>
      </c>
      <c r="H18" s="16">
        <f>ROUNDDOWN(E18*F18/100+1E-9,3)</f>
        <v>0.402</v>
      </c>
      <c r="I18" s="16">
        <f>ROUND(H18/Assumptions!$B$3+1E-9,3)</f>
        <v>0.35</v>
      </c>
      <c r="J18" s="17">
        <f>ROUND(D18*E18/100+1E-9,2)</f>
        <v>1063.37</v>
      </c>
      <c r="K18" s="17">
        <f>ROUND(D18*H18/100+1E-9,2)</f>
        <v>531.03</v>
      </c>
      <c r="L18" s="17">
        <f>J18-K18</f>
        <v>532.34</v>
      </c>
    </row>
    <row r="19" spans="1:12" x14ac:dyDescent="0.25">
      <c r="A19" s="13" t="s">
        <v>96</v>
      </c>
      <c r="B19" s="5" t="str">
        <f>INDEX('Fee Switch-Off'!$B$5:$B$30,MATCH($A19,'Fee Switch-Off'!$A$5:$A$30,0))</f>
        <v>DEON BEKKER</v>
      </c>
      <c r="C19" s="13" t="s">
        <v>192</v>
      </c>
      <c r="D19" s="17">
        <f>INDEX('Fee Switch-Off'!$E$5:$E$30,MATCH($A19,'Fee Switch-Off'!$A$5:$A$30,0))</f>
        <v>42593.76</v>
      </c>
      <c r="E19" s="16">
        <f>INDEX('Fee Switch-Off'!$G$5:$G$30,MATCH($A19,'Fee Switch-Off'!$A$5:$A$30,0))</f>
        <v>1.265</v>
      </c>
      <c r="F19" s="9">
        <v>50</v>
      </c>
      <c r="G19" s="24">
        <f>100-F19</f>
        <v>50</v>
      </c>
      <c r="H19" s="16">
        <f>ROUNDDOWN(E19*F19/100+1E-9,3)</f>
        <v>0.632</v>
      </c>
      <c r="I19" s="16">
        <f>ROUND(H19/Assumptions!$B$3+1E-9,3)</f>
        <v>0.55</v>
      </c>
      <c r="J19" s="17">
        <f>ROUND(D19*E19/100+1E-9,2)</f>
        <v>538.81</v>
      </c>
      <c r="K19" s="17">
        <f>ROUND(D19*H19/100+1E-9,2)</f>
        <v>269.19</v>
      </c>
      <c r="L19" s="17">
        <f>J19-K19</f>
        <v>269.62</v>
      </c>
    </row>
  </sheetData>
  <autoFilter ref="A4:L1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H19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44" customWidth="1"/>
    <col min="2" max="2" width="48" customWidth="1"/>
    <col min="3" max="5" width="12" customWidth="1"/>
    <col min="6" max="7" width="14" customWidth="1"/>
    <col min="8" max="8" width="16" customWidth="1"/>
  </cols>
  <sheetData>
    <row r="1" spans="1:1" x14ac:dyDescent="0.25">
      <c r="A1" s="4" t="s">
        <v>193</v>
      </c>
    </row>
    <row r="2" spans="1:1" x14ac:dyDescent="0.25">
      <c r="A2" s="7" t="s">
        <v>194</v>
      </c>
    </row>
    <row r="4" ht="48" customHeight="1" spans="1:8" x14ac:dyDescent="0.25">
      <c r="A4" s="11" t="s">
        <v>195</v>
      </c>
      <c r="B4" s="11" t="s">
        <v>196</v>
      </c>
      <c r="C4" s="11" t="s">
        <v>197</v>
      </c>
      <c r="D4" s="11" t="s">
        <v>198</v>
      </c>
      <c r="E4" s="12" t="s">
        <v>199</v>
      </c>
      <c r="F4" s="12" t="s">
        <v>200</v>
      </c>
      <c r="G4" s="12" t="s">
        <v>201</v>
      </c>
      <c r="H4" s="12" t="s">
        <v>202</v>
      </c>
    </row>
    <row r="5" spans="1:8" x14ac:dyDescent="0.25">
      <c r="A5" s="5" t="s">
        <v>203</v>
      </c>
      <c r="B5" s="5" t="s">
        <v>204</v>
      </c>
      <c r="C5" s="25">
        <v>2</v>
      </c>
      <c r="D5" s="25">
        <v>6</v>
      </c>
      <c r="E5" s="26">
        <v>2</v>
      </c>
      <c r="F5" s="27">
        <f>C5*E5</f>
        <v>4</v>
      </c>
      <c r="G5" s="27">
        <f>D5*E5</f>
        <v>12</v>
      </c>
      <c r="H5" s="27">
        <f>ROUNDUP(D5*1.5,0)</f>
        <v>9</v>
      </c>
    </row>
    <row r="6" spans="1:8" x14ac:dyDescent="0.25">
      <c r="A6" s="5" t="s">
        <v>205</v>
      </c>
      <c r="B6" s="5" t="s">
        <v>206</v>
      </c>
      <c r="C6" s="25">
        <v>3</v>
      </c>
      <c r="D6" s="25">
        <v>10</v>
      </c>
      <c r="E6" s="26">
        <v>1</v>
      </c>
      <c r="F6" s="27">
        <f>C6*E6</f>
        <v>3</v>
      </c>
      <c r="G6" s="27">
        <f>D6*E6</f>
        <v>10</v>
      </c>
      <c r="H6" s="27">
        <f>ROUNDUP(D6*1.5,0)</f>
        <v>15</v>
      </c>
    </row>
    <row r="7" spans="1:8" x14ac:dyDescent="0.25">
      <c r="A7" s="5" t="s">
        <v>207</v>
      </c>
      <c r="B7" s="5" t="s">
        <v>208</v>
      </c>
      <c r="C7" s="25">
        <v>5</v>
      </c>
      <c r="D7" s="25">
        <v>15</v>
      </c>
      <c r="E7" s="26">
        <v>1</v>
      </c>
      <c r="F7" s="27">
        <f>C7*E7</f>
        <v>5</v>
      </c>
      <c r="G7" s="27">
        <f>D7*E7</f>
        <v>15</v>
      </c>
      <c r="H7" s="27">
        <f>ROUNDUP(D7*1.5,0)</f>
        <v>23</v>
      </c>
    </row>
    <row r="8" spans="1:8" x14ac:dyDescent="0.25">
      <c r="A8" s="5" t="s">
        <v>209</v>
      </c>
      <c r="B8" s="5" t="s">
        <v>208</v>
      </c>
      <c r="C8" s="25">
        <v>5</v>
      </c>
      <c r="D8" s="25">
        <v>15</v>
      </c>
      <c r="E8" s="26">
        <v>1</v>
      </c>
      <c r="F8" s="27">
        <f>C8*E8</f>
        <v>5</v>
      </c>
      <c r="G8" s="27">
        <f>D8*E8</f>
        <v>15</v>
      </c>
      <c r="H8" s="27">
        <f>ROUNDUP(D8*1.5,0)</f>
        <v>23</v>
      </c>
    </row>
    <row r="9" spans="1:8" x14ac:dyDescent="0.25">
      <c r="A9" s="5" t="s">
        <v>210</v>
      </c>
      <c r="B9" s="5" t="s">
        <v>211</v>
      </c>
      <c r="C9" s="25">
        <v>30</v>
      </c>
      <c r="D9" s="25">
        <v>90</v>
      </c>
      <c r="E9" s="26">
        <v>1</v>
      </c>
      <c r="F9" s="27">
        <f>C9*E9</f>
        <v>30</v>
      </c>
      <c r="G9" s="27">
        <f>D9*E9</f>
        <v>90</v>
      </c>
      <c r="H9" s="27">
        <f>ROUNDUP(D9*1.5,0)</f>
        <v>135</v>
      </c>
    </row>
    <row r="10" spans="1:8" x14ac:dyDescent="0.25">
      <c r="A10" s="5" t="s">
        <v>212</v>
      </c>
      <c r="B10" s="5" t="s">
        <v>213</v>
      </c>
      <c r="C10" s="25">
        <v>25</v>
      </c>
      <c r="D10" s="25">
        <v>75</v>
      </c>
      <c r="E10" s="26">
        <v>1</v>
      </c>
      <c r="F10" s="27">
        <f>C10*E10</f>
        <v>25</v>
      </c>
      <c r="G10" s="27">
        <f>D10*E10</f>
        <v>75</v>
      </c>
      <c r="H10" s="27">
        <f>ROUNDUP(D10*1.5,0)</f>
        <v>113</v>
      </c>
    </row>
    <row r="11" spans="1:8" x14ac:dyDescent="0.25">
      <c r="A11" s="5" t="s">
        <v>214</v>
      </c>
      <c r="B11" s="5" t="s">
        <v>215</v>
      </c>
      <c r="C11" s="25">
        <v>10</v>
      </c>
      <c r="D11" s="25">
        <v>30</v>
      </c>
      <c r="E11" s="26">
        <v>1</v>
      </c>
      <c r="F11" s="27">
        <f>C11*E11</f>
        <v>10</v>
      </c>
      <c r="G11" s="27">
        <f>D11*E11</f>
        <v>30</v>
      </c>
      <c r="H11" s="27">
        <f>ROUNDUP(D11*1.5,0)</f>
        <v>45</v>
      </c>
    </row>
    <row r="12" spans="1:8" x14ac:dyDescent="0.25">
      <c r="A12" s="5" t="s">
        <v>216</v>
      </c>
      <c r="B12" s="5" t="s">
        <v>217</v>
      </c>
      <c r="C12" s="25">
        <v>20</v>
      </c>
      <c r="D12" s="25">
        <v>60</v>
      </c>
      <c r="E12" s="26">
        <v>1</v>
      </c>
      <c r="F12" s="27">
        <f>C12*E12</f>
        <v>20</v>
      </c>
      <c r="G12" s="27">
        <f>D12*E12</f>
        <v>60</v>
      </c>
      <c r="H12" s="27">
        <f>ROUNDUP(D12*1.5,0)</f>
        <v>90</v>
      </c>
    </row>
    <row r="13" spans="1:8" x14ac:dyDescent="0.25">
      <c r="A13" s="5" t="s">
        <v>218</v>
      </c>
      <c r="B13" s="5" t="s">
        <v>208</v>
      </c>
      <c r="C13" s="25">
        <v>15</v>
      </c>
      <c r="D13" s="25">
        <v>45</v>
      </c>
      <c r="E13" s="26">
        <v>1</v>
      </c>
      <c r="F13" s="27">
        <f>C13*E13</f>
        <v>15</v>
      </c>
      <c r="G13" s="27">
        <f>D13*E13</f>
        <v>45</v>
      </c>
      <c r="H13" s="27">
        <f>ROUNDUP(D13*1.5,0)</f>
        <v>68</v>
      </c>
    </row>
    <row r="14" spans="1:8" x14ac:dyDescent="0.25">
      <c r="A14" s="5" t="s">
        <v>219</v>
      </c>
      <c r="B14" s="5" t="s">
        <v>215</v>
      </c>
      <c r="C14" s="25">
        <v>20</v>
      </c>
      <c r="D14" s="25">
        <v>60</v>
      </c>
      <c r="E14" s="26">
        <v>1</v>
      </c>
      <c r="F14" s="27">
        <f>C14*E14</f>
        <v>20</v>
      </c>
      <c r="G14" s="27">
        <f>D14*E14</f>
        <v>60</v>
      </c>
      <c r="H14" s="27">
        <f>ROUNDUP(D14*1.5,0)</f>
        <v>90</v>
      </c>
    </row>
    <row r="15" spans="1:8" x14ac:dyDescent="0.25">
      <c r="A15" s="5" t="s">
        <v>220</v>
      </c>
      <c r="B15" s="5" t="s">
        <v>215</v>
      </c>
      <c r="C15" s="25">
        <v>20</v>
      </c>
      <c r="D15" s="25">
        <v>60</v>
      </c>
      <c r="E15" s="26">
        <v>1</v>
      </c>
      <c r="F15" s="27">
        <f>C15*E15</f>
        <v>20</v>
      </c>
      <c r="G15" s="27">
        <f>D15*E15</f>
        <v>60</v>
      </c>
      <c r="H15" s="27">
        <f>ROUNDUP(D15*1.5,0)</f>
        <v>90</v>
      </c>
    </row>
    <row r="17" spans="1:7" x14ac:dyDescent="0.25">
      <c r="A17" s="19" t="s">
        <v>221</v>
      </c>
      <c r="F17" s="28">
        <f>SUM(F5:F15)</f>
        <v>157</v>
      </c>
      <c r="G17" s="28">
        <f>SUM(G5:G15)</f>
        <v>472</v>
      </c>
    </row>
    <row r="18" spans="1:7" x14ac:dyDescent="0.25">
      <c r="A18" s="19" t="s">
        <v>222</v>
      </c>
      <c r="F18" s="29">
        <f>ROUND(F17/60,1)</f>
        <v>2.6</v>
      </c>
      <c r="G18" s="29">
        <f>ROUND(G17/60,1)</f>
        <v>7.9</v>
      </c>
    </row>
    <row r="19" spans="1:7" x14ac:dyDescent="0.25">
      <c r="A19" s="19" t="s">
        <v>223</v>
      </c>
      <c r="G19" s="28">
        <f>MAX(D5:D15)</f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W30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24" customWidth="1"/>
    <col min="3" max="3" width="14" customWidth="1"/>
    <col min="4" max="12" width="13" customWidth="1"/>
    <col min="13" max="13" width="11" customWidth="1"/>
    <col min="14" max="14" width="13" customWidth="1"/>
    <col min="15" max="15" width="11" customWidth="1"/>
    <col min="16" max="17" width="13" customWidth="1"/>
    <col min="18" max="18" width="12" customWidth="1"/>
    <col min="19" max="19" width="13" customWidth="1"/>
    <col min="20" max="20" width="15" customWidth="1"/>
    <col min="21" max="22" width="14" customWidth="1"/>
    <col min="23" max="23" width="15" customWidth="1"/>
  </cols>
  <sheetData>
    <row r="1" spans="1:1" x14ac:dyDescent="0.25">
      <c r="A1" s="4" t="s">
        <v>224</v>
      </c>
    </row>
    <row r="2" spans="1:1" x14ac:dyDescent="0.25">
      <c r="A2" s="7" t="s">
        <v>225</v>
      </c>
    </row>
    <row r="4" ht="48" customHeight="1" spans="1:23" x14ac:dyDescent="0.25">
      <c r="A4" s="11" t="s">
        <v>52</v>
      </c>
      <c r="B4" s="11" t="s">
        <v>53</v>
      </c>
      <c r="C4" s="11" t="s">
        <v>56</v>
      </c>
      <c r="D4" s="11" t="s">
        <v>58</v>
      </c>
      <c r="E4" s="12" t="s">
        <v>62</v>
      </c>
      <c r="F4" s="12" t="s">
        <v>188</v>
      </c>
      <c r="G4" s="12" t="s">
        <v>64</v>
      </c>
      <c r="H4" s="12" t="s">
        <v>226</v>
      </c>
      <c r="I4" s="12" t="s">
        <v>227</v>
      </c>
      <c r="J4" s="12" t="s">
        <v>228</v>
      </c>
      <c r="K4" s="12" t="s">
        <v>229</v>
      </c>
      <c r="L4" s="12" t="s">
        <v>230</v>
      </c>
      <c r="M4" s="12" t="s">
        <v>231</v>
      </c>
      <c r="N4" s="12" t="s">
        <v>232</v>
      </c>
      <c r="O4" s="12" t="s">
        <v>233</v>
      </c>
      <c r="P4" s="12" t="s">
        <v>234</v>
      </c>
      <c r="Q4" s="12" t="s">
        <v>235</v>
      </c>
      <c r="R4" s="12" t="s">
        <v>236</v>
      </c>
      <c r="S4" s="12" t="s">
        <v>237</v>
      </c>
      <c r="T4" s="12" t="s">
        <v>238</v>
      </c>
      <c r="U4" s="12" t="s">
        <v>239</v>
      </c>
      <c r="V4" s="12" t="s">
        <v>240</v>
      </c>
      <c r="W4" s="12" t="s">
        <v>241</v>
      </c>
    </row>
    <row r="5" spans="1:23" x14ac:dyDescent="0.25">
      <c r="A5" s="13" t="s">
        <v>67</v>
      </c>
      <c r="B5" s="5" t="str">
        <f>INDEX('Fee Switch-Off'!$B$5:$B$30,MATCH($A5,'Fee Switch-Off'!$A$5:$A$30,0))</f>
        <v>NOKUTHULA MAHLOBO</v>
      </c>
      <c r="C5" s="17">
        <f>INDEX('Fee Switch-Off'!$E$5:$E$30,MATCH($A5,'Fee Switch-Off'!$A$5:$A$30,0))</f>
        <v>4323.48</v>
      </c>
      <c r="D5" s="16">
        <f>INDEX('Fee Switch-Off'!$G$5:$G$30,MATCH($A5,'Fee Switch-Off'!$A$5:$A$30,0))</f>
        <v>0.575</v>
      </c>
      <c r="E5" s="16">
        <f>INDEX('Fee Switch-Off'!$K$5:$K$30,MATCH($A5,'Fee Switch-Off'!$A$5:$A$30,0))</f>
        <v>0</v>
      </c>
      <c r="F5" s="17">
        <f>ROUND(C5*D5/100+1E-9,2)</f>
        <v>24.86</v>
      </c>
      <c r="G5" s="17">
        <f>ROUND(C5*E5/100+1E-9,2)</f>
        <v>0</v>
      </c>
      <c r="H5" s="17">
        <f>ROUND(F5/Assumptions!$B$4+1E-9,2)</f>
        <v>2.07</v>
      </c>
      <c r="I5" s="17">
        <f>ROUND(G5/Assumptions!$B$4+1E-9,2)</f>
        <v>0</v>
      </c>
      <c r="J5" s="17">
        <f>ROUND(H5-I5+1E-9,2)</f>
        <v>2.07</v>
      </c>
      <c r="K5" s="30">
        <v>46264</v>
      </c>
      <c r="L5" s="31">
        <f>EDATE(K5,-1)</f>
        <v>46233</v>
      </c>
      <c r="M5" s="27">
        <f>K5-L5</f>
        <v>31</v>
      </c>
      <c r="N5" s="31">
        <f>Assumptions!$B$6</f>
        <v>46238</v>
      </c>
      <c r="O5" s="27">
        <f>MAX(0,MIN(M5,K5-N5))</f>
        <v>26</v>
      </c>
      <c r="P5" s="17">
        <f>IF(J5&gt;0,ROUND(J5*O5/M5+1E-9,2),0)</f>
        <v>1.74</v>
      </c>
      <c r="Q5" s="17">
        <f>IF(J5&lt;0,ROUND(-J5*O5/M5+1E-9,2),0)</f>
        <v>0</v>
      </c>
      <c r="R5" s="32">
        <v>100</v>
      </c>
      <c r="S5" s="17">
        <f>ROUND(P5/Assumptions!$B$3*R5/100+1E-9,2)</f>
        <v>1.51</v>
      </c>
      <c r="T5" s="17">
        <f>ROUND(I5/Assumptions!$B$3*O5/M5*R5/100+1E-9,2)</f>
        <v>0</v>
      </c>
      <c r="U5" s="16">
        <f>ROUND(E5/Assumptions!$B$3*R5/100+1E-9,3)</f>
        <v>0</v>
      </c>
      <c r="V5" s="17">
        <f>INDEX('Fee Switch-Off'!$F$5:$F$30,MATCH($A5,'Fee Switch-Off'!$A$5:$A$30,0))</f>
        <v>600</v>
      </c>
      <c r="W5" s="17">
        <f>-S5</f>
        <v>-1.51</v>
      </c>
    </row>
    <row r="6" spans="1:23" x14ac:dyDescent="0.25">
      <c r="A6" s="13" t="s">
        <v>71</v>
      </c>
      <c r="B6" s="5" t="str">
        <f>INDEX('Fee Switch-Off'!$B$5:$B$30,MATCH($A6,'Fee Switch-Off'!$A$5:$A$30,0))</f>
        <v>SIPHO KHUMALO</v>
      </c>
      <c r="C6" s="17">
        <f>INDEX('Fee Switch-Off'!$E$5:$E$30,MATCH($A6,'Fee Switch-Off'!$A$5:$A$30,0))</f>
        <v>84450</v>
      </c>
      <c r="D6" s="16">
        <f>INDEX('Fee Switch-Off'!$G$5:$G$30,MATCH($A6,'Fee Switch-Off'!$A$5:$A$30,0))</f>
        <v>1.15</v>
      </c>
      <c r="E6" s="16">
        <f>INDEX('Fee Switch-Off'!$K$5:$K$30,MATCH($A6,'Fee Switch-Off'!$A$5:$A$30,0))</f>
        <v>0</v>
      </c>
      <c r="F6" s="17">
        <f>ROUND(C6*D6/100+1E-9,2)</f>
        <v>971.18</v>
      </c>
      <c r="G6" s="17">
        <f>ROUND(C6*E6/100+1E-9,2)</f>
        <v>0</v>
      </c>
      <c r="H6" s="17">
        <f>ROUND(F6/Assumptions!$B$4+1E-9,2)</f>
        <v>80.93</v>
      </c>
      <c r="I6" s="17">
        <f>ROUND(G6/Assumptions!$B$4+1E-9,2)</f>
        <v>0</v>
      </c>
      <c r="J6" s="17">
        <f>ROUND(H6-I6+1E-9,2)</f>
        <v>80.93</v>
      </c>
      <c r="K6" s="30">
        <v>46246</v>
      </c>
      <c r="L6" s="31">
        <f>EDATE(K6,-1)</f>
        <v>46215</v>
      </c>
      <c r="M6" s="27">
        <f>K6-L6</f>
        <v>31</v>
      </c>
      <c r="N6" s="31">
        <f>Assumptions!$B$6</f>
        <v>46238</v>
      </c>
      <c r="O6" s="27">
        <f>MAX(0,MIN(M6,K6-N6))</f>
        <v>8</v>
      </c>
      <c r="P6" s="17">
        <f>IF(J6&gt;0,ROUND(J6*O6/M6+1E-9,2),0)</f>
        <v>20.89</v>
      </c>
      <c r="Q6" s="17">
        <f>IF(J6&lt;0,ROUND(-J6*O6/M6+1E-9,2),0)</f>
        <v>0</v>
      </c>
      <c r="R6" s="32">
        <v>100</v>
      </c>
      <c r="S6" s="17">
        <f>ROUND(P6/Assumptions!$B$3*R6/100+1E-9,2)</f>
        <v>18.17</v>
      </c>
      <c r="T6" s="17">
        <f>ROUND(I6/Assumptions!$B$3*O6/M6*R6/100+1E-9,2)</f>
        <v>0</v>
      </c>
      <c r="U6" s="16">
        <f>ROUND(E6/Assumptions!$B$3*R6/100+1E-9,3)</f>
        <v>0</v>
      </c>
      <c r="V6" s="17">
        <f>INDEX('Fee Switch-Off'!$F$5:$F$30,MATCH($A6,'Fee Switch-Off'!$A$5:$A$30,0))</f>
        <v>2500</v>
      </c>
      <c r="W6" s="17">
        <f>-S6</f>
        <v>-18.17</v>
      </c>
    </row>
    <row r="7" spans="1:23" x14ac:dyDescent="0.25">
      <c r="A7" s="13" t="s">
        <v>74</v>
      </c>
      <c r="B7" s="5" t="str">
        <f>INDEX('Fee Switch-Off'!$B$5:$B$30,MATCH($A7,'Fee Switch-Off'!$A$5:$A$30,0))</f>
        <v>THANDEKA ZULU</v>
      </c>
      <c r="C7" s="17">
        <f>INDEX('Fee Switch-Off'!$E$5:$E$30,MATCH($A7,'Fee Switch-Off'!$A$5:$A$30,0))</f>
        <v>36074.16</v>
      </c>
      <c r="D7" s="16">
        <f>INDEX('Fee Switch-Off'!$G$5:$G$30,MATCH($A7,'Fee Switch-Off'!$A$5:$A$30,0))</f>
        <v>0.863</v>
      </c>
      <c r="E7" s="16">
        <f>INDEX('Fee Switch-Off'!$K$5:$K$30,MATCH($A7,'Fee Switch-Off'!$A$5:$A$30,0))</f>
        <v>0</v>
      </c>
      <c r="F7" s="17">
        <f>ROUND(C7*D7/100+1E-9,2)</f>
        <v>311.32</v>
      </c>
      <c r="G7" s="17">
        <f>ROUND(C7*E7/100+1E-9,2)</f>
        <v>0</v>
      </c>
      <c r="H7" s="17">
        <f>ROUND(F7/Assumptions!$B$4+1E-9,2)</f>
        <v>25.94</v>
      </c>
      <c r="I7" s="17">
        <f>ROUND(G7/Assumptions!$B$4+1E-9,2)</f>
        <v>0</v>
      </c>
      <c r="J7" s="17">
        <f>ROUND(H7-I7+1E-9,2)</f>
        <v>25.94</v>
      </c>
      <c r="K7" s="30">
        <v>46268</v>
      </c>
      <c r="L7" s="31">
        <f>EDATE(K7,-1)</f>
        <v>46237</v>
      </c>
      <c r="M7" s="27">
        <f>K7-L7</f>
        <v>31</v>
      </c>
      <c r="N7" s="31">
        <f>Assumptions!$B$6</f>
        <v>46238</v>
      </c>
      <c r="O7" s="27">
        <f>MAX(0,MIN(M7,K7-N7))</f>
        <v>30</v>
      </c>
      <c r="P7" s="17">
        <f>IF(J7&gt;0,ROUND(J7*O7/M7+1E-9,2),0)</f>
        <v>25.1</v>
      </c>
      <c r="Q7" s="17">
        <f>IF(J7&lt;0,ROUND(-J7*O7/M7+1E-9,2),0)</f>
        <v>0</v>
      </c>
      <c r="R7" s="32">
        <v>100</v>
      </c>
      <c r="S7" s="17">
        <f>ROUND(P7/Assumptions!$B$3*R7/100+1E-9,2)</f>
        <v>21.83</v>
      </c>
      <c r="T7" s="17">
        <f>ROUND(I7/Assumptions!$B$3*O7/M7*R7/100+1E-9,2)</f>
        <v>0</v>
      </c>
      <c r="U7" s="16">
        <f>ROUND(E7/Assumptions!$B$3*R7/100+1E-9,3)</f>
        <v>0</v>
      </c>
      <c r="V7" s="17">
        <f>INDEX('Fee Switch-Off'!$F$5:$F$30,MATCH($A7,'Fee Switch-Off'!$A$5:$A$30,0))</f>
        <v>1200</v>
      </c>
      <c r="W7" s="17">
        <f>-S7</f>
        <v>-21.83</v>
      </c>
    </row>
    <row r="8" spans="1:23" x14ac:dyDescent="0.25">
      <c r="A8" s="13" t="s">
        <v>76</v>
      </c>
      <c r="B8" s="5" t="str">
        <f>INDEX('Fee Switch-Off'!$B$5:$B$30,MATCH($A8,'Fee Switch-Off'!$A$5:$A$30,0))</f>
        <v>RIAAN STEYN</v>
      </c>
      <c r="C8" s="17">
        <f>INDEX('Fee Switch-Off'!$E$5:$E$30,MATCH($A8,'Fee Switch-Off'!$A$5:$A$30,0))</f>
        <v>75665.4</v>
      </c>
      <c r="D8" s="16">
        <f>INDEX('Fee Switch-Off'!$G$5:$G$30,MATCH($A8,'Fee Switch-Off'!$A$5:$A$30,0))</f>
        <v>0.575</v>
      </c>
      <c r="E8" s="16">
        <f>INDEX('Fee Switch-Off'!$K$5:$K$30,MATCH($A8,'Fee Switch-Off'!$A$5:$A$30,0))</f>
        <v>0</v>
      </c>
      <c r="F8" s="17">
        <f>ROUND(C8*D8/100+1E-9,2)</f>
        <v>435.08</v>
      </c>
      <c r="G8" s="17">
        <f>ROUND(C8*E8/100+1E-9,2)</f>
        <v>0</v>
      </c>
      <c r="H8" s="17">
        <f>ROUND(F8/Assumptions!$B$4+1E-9,2)</f>
        <v>36.26</v>
      </c>
      <c r="I8" s="17">
        <f>ROUND(G8/Assumptions!$B$4+1E-9,2)</f>
        <v>0</v>
      </c>
      <c r="J8" s="17">
        <f>ROUND(H8-I8+1E-9,2)</f>
        <v>36.26</v>
      </c>
      <c r="K8" s="30">
        <v>46252</v>
      </c>
      <c r="L8" s="31">
        <f>EDATE(K8,-1)</f>
        <v>46221</v>
      </c>
      <c r="M8" s="27">
        <f>K8-L8</f>
        <v>31</v>
      </c>
      <c r="N8" s="31">
        <f>Assumptions!$B$6</f>
        <v>46238</v>
      </c>
      <c r="O8" s="27">
        <f>MAX(0,MIN(M8,K8-N8))</f>
        <v>14</v>
      </c>
      <c r="P8" s="17">
        <f>IF(J8&gt;0,ROUND(J8*O8/M8+1E-9,2),0)</f>
        <v>16.38</v>
      </c>
      <c r="Q8" s="17">
        <f>IF(J8&lt;0,ROUND(-J8*O8/M8+1E-9,2),0)</f>
        <v>0</v>
      </c>
      <c r="R8" s="32">
        <v>100</v>
      </c>
      <c r="S8" s="17">
        <f>ROUND(P8/Assumptions!$B$3*R8/100+1E-9,2)</f>
        <v>14.24</v>
      </c>
      <c r="T8" s="17">
        <f>ROUND(I8/Assumptions!$B$3*O8/M8*R8/100+1E-9,2)</f>
        <v>0</v>
      </c>
      <c r="U8" s="16">
        <f>ROUND(E8/Assumptions!$B$3*R8/100+1E-9,3)</f>
        <v>0</v>
      </c>
      <c r="V8" s="17">
        <f>INDEX('Fee Switch-Off'!$F$5:$F$30,MATCH($A8,'Fee Switch-Off'!$A$5:$A$30,0))</f>
        <v>3000</v>
      </c>
      <c r="W8" s="17">
        <f>-S8</f>
        <v>-14.24</v>
      </c>
    </row>
    <row r="9" spans="1:23" x14ac:dyDescent="0.25">
      <c r="A9" s="13" t="s">
        <v>78</v>
      </c>
      <c r="B9" s="5" t="str">
        <f>INDEX('Fee Switch-Off'!$B$5:$B$30,MATCH($A9,'Fee Switch-Off'!$A$5:$A$30,0))</f>
        <v>AYESHA PATEL</v>
      </c>
      <c r="C9" s="17">
        <f>INDEX('Fee Switch-Off'!$E$5:$E$30,MATCH($A9,'Fee Switch-Off'!$A$5:$A$30,0))</f>
        <v>92322.9</v>
      </c>
      <c r="D9" s="16">
        <f>INDEX('Fee Switch-Off'!$G$5:$G$30,MATCH($A9,'Fee Switch-Off'!$A$5:$A$30,0))</f>
        <v>1.438</v>
      </c>
      <c r="E9" s="16">
        <f>INDEX('Fee Switch-Off'!$K$5:$K$30,MATCH($A9,'Fee Switch-Off'!$A$5:$A$30,0))</f>
        <v>0</v>
      </c>
      <c r="F9" s="17">
        <f>ROUND(C9*D9/100+1E-9,2)</f>
        <v>1327.6</v>
      </c>
      <c r="G9" s="17">
        <f>ROUND(C9*E9/100+1E-9,2)</f>
        <v>0</v>
      </c>
      <c r="H9" s="17">
        <f>ROUND(F9/Assumptions!$B$4+1E-9,2)</f>
        <v>110.63</v>
      </c>
      <c r="I9" s="17">
        <f>ROUND(G9/Assumptions!$B$4+1E-9,2)</f>
        <v>0</v>
      </c>
      <c r="J9" s="17">
        <f>ROUND(H9-I9+1E-9,2)</f>
        <v>110.63</v>
      </c>
      <c r="K9" s="30">
        <v>46241</v>
      </c>
      <c r="L9" s="31">
        <f>EDATE(K9,-1)</f>
        <v>46210</v>
      </c>
      <c r="M9" s="27">
        <f>K9-L9</f>
        <v>31</v>
      </c>
      <c r="N9" s="31">
        <f>Assumptions!$B$6</f>
        <v>46238</v>
      </c>
      <c r="O9" s="27">
        <f>MAX(0,MIN(M9,K9-N9))</f>
        <v>3</v>
      </c>
      <c r="P9" s="17">
        <f>IF(J9&gt;0,ROUND(J9*O9/M9+1E-9,2),0)</f>
        <v>10.71</v>
      </c>
      <c r="Q9" s="17">
        <f>IF(J9&lt;0,ROUND(-J9*O9/M9+1E-9,2),0)</f>
        <v>0</v>
      </c>
      <c r="R9" s="32">
        <v>100</v>
      </c>
      <c r="S9" s="17">
        <f>ROUND(P9/Assumptions!$B$3*R9/100+1E-9,2)</f>
        <v>9.31</v>
      </c>
      <c r="T9" s="17">
        <f>ROUND(I9/Assumptions!$B$3*O9/M9*R9/100+1E-9,2)</f>
        <v>0</v>
      </c>
      <c r="U9" s="16">
        <f>ROUND(E9/Assumptions!$B$3*R9/100+1E-9,3)</f>
        <v>0</v>
      </c>
      <c r="V9" s="17">
        <f>INDEX('Fee Switch-Off'!$F$5:$F$30,MATCH($A9,'Fee Switch-Off'!$A$5:$A$30,0))</f>
        <v>4500</v>
      </c>
      <c r="W9" s="17">
        <f>-S9</f>
        <v>-9.31</v>
      </c>
    </row>
    <row r="10" spans="1:23" x14ac:dyDescent="0.25">
      <c r="A10" s="13" t="s">
        <v>80</v>
      </c>
      <c r="B10" s="5" t="str">
        <f>INDEX('Fee Switch-Off'!$B$5:$B$30,MATCH($A10,'Fee Switch-Off'!$A$5:$A$30,0))</f>
        <v>KAGISO MOLEFE</v>
      </c>
      <c r="C10" s="17">
        <f>INDEX('Fee Switch-Off'!$E$5:$E$30,MATCH($A10,'Fee Switch-Off'!$A$5:$A$30,0))</f>
        <v>30774.3</v>
      </c>
      <c r="D10" s="16">
        <f>INDEX('Fee Switch-Off'!$G$5:$G$30,MATCH($A10,'Fee Switch-Off'!$A$5:$A$30,0))</f>
        <v>1.15</v>
      </c>
      <c r="E10" s="16">
        <f>INDEX('Fee Switch-Off'!$K$5:$K$30,MATCH($A10,'Fee Switch-Off'!$A$5:$A$30,0))</f>
        <v>0</v>
      </c>
      <c r="F10" s="17">
        <f>ROUND(C10*D10/100+1E-9,2)</f>
        <v>353.9</v>
      </c>
      <c r="G10" s="17">
        <f>ROUND(C10*E10/100+1E-9,2)</f>
        <v>0</v>
      </c>
      <c r="H10" s="17">
        <f>ROUND(F10/Assumptions!$B$4+1E-9,2)</f>
        <v>29.49</v>
      </c>
      <c r="I10" s="17">
        <f>ROUND(G10/Assumptions!$B$4+1E-9,2)</f>
        <v>0</v>
      </c>
      <c r="J10" s="17">
        <f>ROUND(H10-I10+1E-9,2)</f>
        <v>29.49</v>
      </c>
      <c r="K10" s="30">
        <v>46243</v>
      </c>
      <c r="L10" s="31">
        <f>EDATE(K10,-1)</f>
        <v>46212</v>
      </c>
      <c r="M10" s="27">
        <f>K10-L10</f>
        <v>31</v>
      </c>
      <c r="N10" s="31">
        <f>Assumptions!$B$6</f>
        <v>46238</v>
      </c>
      <c r="O10" s="27">
        <f>MAX(0,MIN(M10,K10-N10))</f>
        <v>5</v>
      </c>
      <c r="P10" s="17">
        <f>IF(J10&gt;0,ROUND(J10*O10/M10+1E-9,2),0)</f>
        <v>4.76</v>
      </c>
      <c r="Q10" s="17">
        <f>IF(J10&lt;0,ROUND(-J10*O10/M10+1E-9,2),0)</f>
        <v>0</v>
      </c>
      <c r="R10" s="32">
        <v>100</v>
      </c>
      <c r="S10" s="17">
        <f>ROUND(P10/Assumptions!$B$3*R10/100+1E-9,2)</f>
        <v>4.14</v>
      </c>
      <c r="T10" s="17">
        <f>ROUND(I10/Assumptions!$B$3*O10/M10*R10/100+1E-9,2)</f>
        <v>0</v>
      </c>
      <c r="U10" s="16">
        <f>ROUND(E10/Assumptions!$B$3*R10/100+1E-9,3)</f>
        <v>0</v>
      </c>
      <c r="V10" s="17">
        <f>INDEX('Fee Switch-Off'!$F$5:$F$30,MATCH($A10,'Fee Switch-Off'!$A$5:$A$30,0))</f>
        <v>1500</v>
      </c>
      <c r="W10" s="17">
        <f>-S10</f>
        <v>-4.14</v>
      </c>
    </row>
    <row r="11" spans="1:23" x14ac:dyDescent="0.25">
      <c r="A11" s="13" t="s">
        <v>82</v>
      </c>
      <c r="B11" s="5" t="str">
        <f>INDEX('Fee Switch-Off'!$B$5:$B$30,MATCH($A11,'Fee Switch-Off'!$A$5:$A$30,0))</f>
        <v>CHARLENE ADAMS</v>
      </c>
      <c r="C11" s="17">
        <f>INDEX('Fee Switch-Off'!$E$5:$E$30,MATCH($A11,'Fee Switch-Off'!$A$5:$A$30,0))</f>
        <v>18213.8</v>
      </c>
      <c r="D11" s="16">
        <f>INDEX('Fee Switch-Off'!$G$5:$G$30,MATCH($A11,'Fee Switch-Off'!$A$5:$A$30,0))</f>
        <v>0.69</v>
      </c>
      <c r="E11" s="16">
        <f>INDEX('Fee Switch-Off'!$K$5:$K$30,MATCH($A11,'Fee Switch-Off'!$A$5:$A$30,0))</f>
        <v>0</v>
      </c>
      <c r="F11" s="17">
        <f>ROUND(C11*D11/100+1E-9,2)</f>
        <v>125.68</v>
      </c>
      <c r="G11" s="17">
        <f>ROUND(C11*E11/100+1E-9,2)</f>
        <v>0</v>
      </c>
      <c r="H11" s="17">
        <f>ROUND(F11/Assumptions!$B$4+1E-9,2)</f>
        <v>10.47</v>
      </c>
      <c r="I11" s="17">
        <f>ROUND(G11/Assumptions!$B$4+1E-9,2)</f>
        <v>0</v>
      </c>
      <c r="J11" s="17">
        <f>ROUND(H11-I11+1E-9,2)</f>
        <v>10.47</v>
      </c>
      <c r="K11" s="30">
        <v>46255</v>
      </c>
      <c r="L11" s="31">
        <f>EDATE(K11,-1)</f>
        <v>46224</v>
      </c>
      <c r="M11" s="27">
        <f>K11-L11</f>
        <v>31</v>
      </c>
      <c r="N11" s="31">
        <f>Assumptions!$B$6</f>
        <v>46238</v>
      </c>
      <c r="O11" s="27">
        <f>MAX(0,MIN(M11,K11-N11))</f>
        <v>17</v>
      </c>
      <c r="P11" s="17">
        <f>IF(J11&gt;0,ROUND(J11*O11/M11+1E-9,2),0)</f>
        <v>5.74</v>
      </c>
      <c r="Q11" s="17">
        <f>IF(J11&lt;0,ROUND(-J11*O11/M11+1E-9,2),0)</f>
        <v>0</v>
      </c>
      <c r="R11" s="32">
        <v>100</v>
      </c>
      <c r="S11" s="17">
        <f>ROUND(P11/Assumptions!$B$3*R11/100+1E-9,2)</f>
        <v>4.99</v>
      </c>
      <c r="T11" s="17">
        <f>ROUND(I11/Assumptions!$B$3*O11/M11*R11/100+1E-9,2)</f>
        <v>0</v>
      </c>
      <c r="U11" s="16">
        <f>ROUND(E11/Assumptions!$B$3*R11/100+1E-9,3)</f>
        <v>0</v>
      </c>
      <c r="V11" s="17">
        <f>INDEX('Fee Switch-Off'!$F$5:$F$30,MATCH($A11,'Fee Switch-Off'!$A$5:$A$30,0))</f>
        <v>1000</v>
      </c>
      <c r="W11" s="17">
        <f>-S11</f>
        <v>-4.99</v>
      </c>
    </row>
    <row r="12" spans="1:23" x14ac:dyDescent="0.25">
      <c r="A12" s="13" t="s">
        <v>84</v>
      </c>
      <c r="B12" s="5" t="str">
        <f>INDEX('Fee Switch-Off'!$B$5:$B$30,MATCH($A12,'Fee Switch-Off'!$A$5:$A$30,0))</f>
        <v>BONGANI MAHLANGU</v>
      </c>
      <c r="C12" s="17">
        <f>INDEX('Fee Switch-Off'!$E$5:$E$30,MATCH($A12,'Fee Switch-Off'!$A$5:$A$30,0))</f>
        <v>29646.4</v>
      </c>
      <c r="D12" s="16">
        <f>INDEX('Fee Switch-Off'!$G$5:$G$30,MATCH($A12,'Fee Switch-Off'!$A$5:$A$30,0))</f>
        <v>1.035</v>
      </c>
      <c r="E12" s="16">
        <f>INDEX('Fee Switch-Off'!$K$5:$K$30,MATCH($A12,'Fee Switch-Off'!$A$5:$A$30,0))</f>
        <v>0</v>
      </c>
      <c r="F12" s="17">
        <f>ROUND(C12*D12/100+1E-9,2)</f>
        <v>306.84</v>
      </c>
      <c r="G12" s="17">
        <f>ROUND(C12*E12/100+1E-9,2)</f>
        <v>0</v>
      </c>
      <c r="H12" s="17">
        <f>ROUND(F12/Assumptions!$B$4+1E-9,2)</f>
        <v>25.57</v>
      </c>
      <c r="I12" s="17">
        <f>ROUND(G12/Assumptions!$B$4+1E-9,2)</f>
        <v>0</v>
      </c>
      <c r="J12" s="17">
        <f>ROUND(H12-I12+1E-9,2)</f>
        <v>25.57</v>
      </c>
      <c r="K12" s="30">
        <v>46267</v>
      </c>
      <c r="L12" s="31">
        <f>EDATE(K12,-1)</f>
        <v>46236</v>
      </c>
      <c r="M12" s="27">
        <f>K12-L12</f>
        <v>31</v>
      </c>
      <c r="N12" s="31">
        <f>Assumptions!$B$6</f>
        <v>46238</v>
      </c>
      <c r="O12" s="27">
        <f>MAX(0,MIN(M12,K12-N12))</f>
        <v>29</v>
      </c>
      <c r="P12" s="17">
        <f>IF(J12&gt;0,ROUND(J12*O12/M12+1E-9,2),0)</f>
        <v>23.92</v>
      </c>
      <c r="Q12" s="17">
        <f>IF(J12&lt;0,ROUND(-J12*O12/M12+1E-9,2),0)</f>
        <v>0</v>
      </c>
      <c r="R12" s="32">
        <v>100</v>
      </c>
      <c r="S12" s="17">
        <f>ROUND(P12/Assumptions!$B$3*R12/100+1E-9,2)</f>
        <v>20.8</v>
      </c>
      <c r="T12" s="17">
        <f>ROUND(I12/Assumptions!$B$3*O12/M12*R12/100+1E-9,2)</f>
        <v>0</v>
      </c>
      <c r="U12" s="16">
        <f>ROUND(E12/Assumptions!$B$3*R12/100+1E-9,3)</f>
        <v>0</v>
      </c>
      <c r="V12" s="17">
        <f>INDEX('Fee Switch-Off'!$F$5:$F$30,MATCH($A12,'Fee Switch-Off'!$A$5:$A$30,0))</f>
        <v>2000</v>
      </c>
      <c r="W12" s="17">
        <f>-S12</f>
        <v>-20.8</v>
      </c>
    </row>
    <row r="13" spans="1:23" x14ac:dyDescent="0.25">
      <c r="A13" s="13" t="s">
        <v>86</v>
      </c>
      <c r="B13" s="5" t="str">
        <f>INDEX('Fee Switch-Off'!$B$5:$B$30,MATCH($A13,'Fee Switch-Off'!$A$5:$A$30,0))</f>
        <v>FATIMA OSMAN</v>
      </c>
      <c r="C13" s="17">
        <f>INDEX('Fee Switch-Off'!$E$5:$E$30,MATCH($A13,'Fee Switch-Off'!$A$5:$A$30,0))</f>
        <v>149814</v>
      </c>
      <c r="D13" s="16">
        <f>INDEX('Fee Switch-Off'!$G$5:$G$30,MATCH($A13,'Fee Switch-Off'!$A$5:$A$30,0))</f>
        <v>0.46</v>
      </c>
      <c r="E13" s="16">
        <f>INDEX('Fee Switch-Off'!$K$5:$K$30,MATCH($A13,'Fee Switch-Off'!$A$5:$A$30,0))</f>
        <v>0</v>
      </c>
      <c r="F13" s="17">
        <f>ROUND(C13*D13/100+1E-9,2)</f>
        <v>689.14</v>
      </c>
      <c r="G13" s="17">
        <f>ROUND(C13*E13/100+1E-9,2)</f>
        <v>0</v>
      </c>
      <c r="H13" s="17">
        <f>ROUND(F13/Assumptions!$B$4+1E-9,2)</f>
        <v>57.43</v>
      </c>
      <c r="I13" s="17">
        <f>ROUND(G13/Assumptions!$B$4+1E-9,2)</f>
        <v>0</v>
      </c>
      <c r="J13" s="17">
        <f>ROUND(H13-I13+1E-9,2)</f>
        <v>57.43</v>
      </c>
      <c r="K13" s="30">
        <v>46248</v>
      </c>
      <c r="L13" s="31">
        <f>EDATE(K13,-1)</f>
        <v>46217</v>
      </c>
      <c r="M13" s="27">
        <f>K13-L13</f>
        <v>31</v>
      </c>
      <c r="N13" s="31">
        <f>Assumptions!$B$6</f>
        <v>46238</v>
      </c>
      <c r="O13" s="27">
        <f>MAX(0,MIN(M13,K13-N13))</f>
        <v>10</v>
      </c>
      <c r="P13" s="17">
        <f>IF(J13&gt;0,ROUND(J13*O13/M13+1E-9,2),0)</f>
        <v>18.53</v>
      </c>
      <c r="Q13" s="17">
        <f>IF(J13&lt;0,ROUND(-J13*O13/M13+1E-9,2),0)</f>
        <v>0</v>
      </c>
      <c r="R13" s="32">
        <v>100</v>
      </c>
      <c r="S13" s="17">
        <f>ROUND(P13/Assumptions!$B$3*R13/100+1E-9,2)</f>
        <v>16.11</v>
      </c>
      <c r="T13" s="17">
        <f>ROUND(I13/Assumptions!$B$3*O13/M13*R13/100+1E-9,2)</f>
        <v>0</v>
      </c>
      <c r="U13" s="16">
        <f>ROUND(E13/Assumptions!$B$3*R13/100+1E-9,3)</f>
        <v>0</v>
      </c>
      <c r="V13" s="17">
        <f>INDEX('Fee Switch-Off'!$F$5:$F$30,MATCH($A13,'Fee Switch-Off'!$A$5:$A$30,0))</f>
        <v>2800</v>
      </c>
      <c r="W13" s="17">
        <f>-S13</f>
        <v>-16.11</v>
      </c>
    </row>
    <row r="14" spans="1:23" x14ac:dyDescent="0.25">
      <c r="A14" s="13" t="s">
        <v>88</v>
      </c>
      <c r="B14" s="5" t="str">
        <f>INDEX('Fee Switch-Off'!$B$5:$B$30,MATCH($A14,'Fee Switch-Off'!$A$5:$A$30,0))</f>
        <v>ITUMELENG SELLO</v>
      </c>
      <c r="C14" s="17">
        <f>INDEX('Fee Switch-Off'!$E$5:$E$30,MATCH($A14,'Fee Switch-Off'!$A$5:$A$30,0))</f>
        <v>88935.84</v>
      </c>
      <c r="D14" s="16">
        <f>INDEX('Fee Switch-Off'!$G$5:$G$30,MATCH($A14,'Fee Switch-Off'!$A$5:$A$30,0))</f>
        <v>0.92</v>
      </c>
      <c r="E14" s="16">
        <f>INDEX('Fee Switch-Off'!$K$5:$K$30,MATCH($A14,'Fee Switch-Off'!$A$5:$A$30,0))</f>
        <v>0</v>
      </c>
      <c r="F14" s="17">
        <f>ROUND(C14*D14/100+1E-9,2)</f>
        <v>818.21</v>
      </c>
      <c r="G14" s="17">
        <f>ROUND(C14*E14/100+1E-9,2)</f>
        <v>0</v>
      </c>
      <c r="H14" s="17">
        <f>ROUND(F14/Assumptions!$B$4+1E-9,2)</f>
        <v>68.18</v>
      </c>
      <c r="I14" s="17">
        <f>ROUND(G14/Assumptions!$B$4+1E-9,2)</f>
        <v>0</v>
      </c>
      <c r="J14" s="17">
        <f>ROUND(H14-I14+1E-9,2)</f>
        <v>68.18</v>
      </c>
      <c r="K14" s="30">
        <v>46240</v>
      </c>
      <c r="L14" s="31">
        <f>EDATE(K14,-1)</f>
        <v>46209</v>
      </c>
      <c r="M14" s="27">
        <f>K14-L14</f>
        <v>31</v>
      </c>
      <c r="N14" s="31">
        <f>Assumptions!$B$6</f>
        <v>46238</v>
      </c>
      <c r="O14" s="27">
        <f>MAX(0,MIN(M14,K14-N14))</f>
        <v>2</v>
      </c>
      <c r="P14" s="17">
        <f>IF(J14&gt;0,ROUND(J14*O14/M14+1E-9,2),0)</f>
        <v>4.4</v>
      </c>
      <c r="Q14" s="17">
        <f>IF(J14&lt;0,ROUND(-J14*O14/M14+1E-9,2),0)</f>
        <v>0</v>
      </c>
      <c r="R14" s="32">
        <v>100</v>
      </c>
      <c r="S14" s="17">
        <f>ROUND(P14/Assumptions!$B$3*R14/100+1E-9,2)</f>
        <v>3.83</v>
      </c>
      <c r="T14" s="17">
        <f>ROUND(I14/Assumptions!$B$3*O14/M14*R14/100+1E-9,2)</f>
        <v>0</v>
      </c>
      <c r="U14" s="16">
        <f>ROUND(E14/Assumptions!$B$3*R14/100+1E-9,3)</f>
        <v>0</v>
      </c>
      <c r="V14" s="17">
        <f>INDEX('Fee Switch-Off'!$F$5:$F$30,MATCH($A14,'Fee Switch-Off'!$A$5:$A$30,0))</f>
        <v>1800</v>
      </c>
      <c r="W14" s="17">
        <f>-S14</f>
        <v>-3.83</v>
      </c>
    </row>
    <row r="15" spans="1:23" x14ac:dyDescent="0.25">
      <c r="A15" s="13" t="s">
        <v>90</v>
      </c>
      <c r="B15" s="5" t="str">
        <f>INDEX('Fee Switch-Off'!$B$5:$B$30,MATCH($A15,'Fee Switch-Off'!$A$5:$A$30,0))</f>
        <v>CHANTEL VAN WYK</v>
      </c>
      <c r="C15" s="17">
        <f>INDEX('Fee Switch-Off'!$E$5:$E$30,MATCH($A15,'Fee Switch-Off'!$A$5:$A$30,0))</f>
        <v>140507.5</v>
      </c>
      <c r="D15" s="16">
        <f>INDEX('Fee Switch-Off'!$G$5:$G$30,MATCH($A15,'Fee Switch-Off'!$A$5:$A$30,0))</f>
        <v>1.725</v>
      </c>
      <c r="E15" s="16">
        <f>INDEX('Fee Switch-Off'!$K$5:$K$30,MATCH($A15,'Fee Switch-Off'!$A$5:$A$30,0))</f>
        <v>0</v>
      </c>
      <c r="F15" s="17">
        <f>ROUND(C15*D15/100+1E-9,2)</f>
        <v>2423.75</v>
      </c>
      <c r="G15" s="17">
        <f>ROUND(C15*E15/100+1E-9,2)</f>
        <v>0</v>
      </c>
      <c r="H15" s="17">
        <f>ROUND(F15/Assumptions!$B$4+1E-9,2)</f>
        <v>201.98</v>
      </c>
      <c r="I15" s="17">
        <f>ROUND(G15/Assumptions!$B$4+1E-9,2)</f>
        <v>0</v>
      </c>
      <c r="J15" s="17">
        <f>ROUND(H15-I15+1E-9,2)</f>
        <v>201.98</v>
      </c>
      <c r="K15" s="30">
        <v>46261</v>
      </c>
      <c r="L15" s="31">
        <f>EDATE(K15,-1)</f>
        <v>46230</v>
      </c>
      <c r="M15" s="27">
        <f>K15-L15</f>
        <v>31</v>
      </c>
      <c r="N15" s="31">
        <f>Assumptions!$B$6</f>
        <v>46238</v>
      </c>
      <c r="O15" s="27">
        <f>MAX(0,MIN(M15,K15-N15))</f>
        <v>23</v>
      </c>
      <c r="P15" s="17">
        <f>IF(J15&gt;0,ROUND(J15*O15/M15+1E-9,2),0)</f>
        <v>149.86</v>
      </c>
      <c r="Q15" s="17">
        <f>IF(J15&lt;0,ROUND(-J15*O15/M15+1E-9,2),0)</f>
        <v>0</v>
      </c>
      <c r="R15" s="32">
        <v>100</v>
      </c>
      <c r="S15" s="17">
        <f>ROUND(P15/Assumptions!$B$3*R15/100+1E-9,2)</f>
        <v>130.31</v>
      </c>
      <c r="T15" s="17">
        <f>ROUND(I15/Assumptions!$B$3*O15/M15*R15/100+1E-9,2)</f>
        <v>0</v>
      </c>
      <c r="U15" s="16">
        <f>ROUND(E15/Assumptions!$B$3*R15/100+1E-9,3)</f>
        <v>0</v>
      </c>
      <c r="V15" s="17">
        <f>INDEX('Fee Switch-Off'!$F$5:$F$30,MATCH($A15,'Fee Switch-Off'!$A$5:$A$30,0))</f>
        <v>3500</v>
      </c>
      <c r="W15" s="17">
        <f>-S15</f>
        <v>-130.31</v>
      </c>
    </row>
    <row r="16" spans="1:23" x14ac:dyDescent="0.25">
      <c r="A16" s="13" t="s">
        <v>92</v>
      </c>
      <c r="B16" s="5" t="str">
        <f>INDEX('Fee Switch-Off'!$B$5:$B$30,MATCH($A16,'Fee Switch-Off'!$A$5:$A$30,0))</f>
        <v>MPHO DLAMINI</v>
      </c>
      <c r="C16" s="17">
        <f>INDEX('Fee Switch-Off'!$E$5:$E$30,MATCH($A16,'Fee Switch-Off'!$A$5:$A$30,0))</f>
        <v>21021.72</v>
      </c>
      <c r="D16" s="16">
        <f>INDEX('Fee Switch-Off'!$G$5:$G$30,MATCH($A16,'Fee Switch-Off'!$A$5:$A$30,0))</f>
        <v>0.345</v>
      </c>
      <c r="E16" s="16">
        <f>INDEX('Fee Switch-Off'!$K$5:$K$30,MATCH($A16,'Fee Switch-Off'!$A$5:$A$30,0))</f>
        <v>0</v>
      </c>
      <c r="F16" s="17">
        <f>ROUND(C16*D16/100+1E-9,2)</f>
        <v>72.52</v>
      </c>
      <c r="G16" s="17">
        <f>ROUND(C16*E16/100+1E-9,2)</f>
        <v>0</v>
      </c>
      <c r="H16" s="17">
        <f>ROUND(F16/Assumptions!$B$4+1E-9,2)</f>
        <v>6.04</v>
      </c>
      <c r="I16" s="17">
        <f>ROUND(G16/Assumptions!$B$4+1E-9,2)</f>
        <v>0</v>
      </c>
      <c r="J16" s="17">
        <f>ROUND(H16-I16+1E-9,2)</f>
        <v>6.04</v>
      </c>
      <c r="K16" s="30">
        <v>46249</v>
      </c>
      <c r="L16" s="31">
        <f>EDATE(K16,-1)</f>
        <v>46218</v>
      </c>
      <c r="M16" s="27">
        <f>K16-L16</f>
        <v>31</v>
      </c>
      <c r="N16" s="31">
        <f>Assumptions!$B$6</f>
        <v>46238</v>
      </c>
      <c r="O16" s="27">
        <f>MAX(0,MIN(M16,K16-N16))</f>
        <v>11</v>
      </c>
      <c r="P16" s="17">
        <f>IF(J16&gt;0,ROUND(J16*O16/M16+1E-9,2),0)</f>
        <v>2.14</v>
      </c>
      <c r="Q16" s="17">
        <f>IF(J16&lt;0,ROUND(-J16*O16/M16+1E-9,2),0)</f>
        <v>0</v>
      </c>
      <c r="R16" s="32">
        <v>100</v>
      </c>
      <c r="S16" s="17">
        <f>ROUND(P16/Assumptions!$B$3*R16/100+1E-9,2)</f>
        <v>1.86</v>
      </c>
      <c r="T16" s="17">
        <f>ROUND(I16/Assumptions!$B$3*O16/M16*R16/100+1E-9,2)</f>
        <v>0</v>
      </c>
      <c r="U16" s="16">
        <f>ROUND(E16/Assumptions!$B$3*R16/100+1E-9,3)</f>
        <v>0</v>
      </c>
      <c r="V16" s="17">
        <f>INDEX('Fee Switch-Off'!$F$5:$F$30,MATCH($A16,'Fee Switch-Off'!$A$5:$A$30,0))</f>
        <v>600</v>
      </c>
      <c r="W16" s="17">
        <f>-S16</f>
        <v>-1.86</v>
      </c>
    </row>
    <row r="17" spans="1:23" x14ac:dyDescent="0.25">
      <c r="A17" s="13" t="s">
        <v>94</v>
      </c>
      <c r="B17" s="5" t="str">
        <f>INDEX('Fee Switch-Off'!$B$5:$B$30,MATCH($A17,'Fee Switch-Off'!$A$5:$A$30,0))</f>
        <v>NOMVULA TSHABALALA</v>
      </c>
      <c r="C17" s="17">
        <f>INDEX('Fee Switch-Off'!$E$5:$E$30,MATCH($A17,'Fee Switch-Off'!$A$5:$A$30,0))</f>
        <v>132096</v>
      </c>
      <c r="D17" s="16">
        <f>INDEX('Fee Switch-Off'!$G$5:$G$30,MATCH($A17,'Fee Switch-Off'!$A$5:$A$30,0))</f>
        <v>0.805</v>
      </c>
      <c r="E17" s="16">
        <f>INDEX('Fee Switch-Off'!$K$5:$K$30,MATCH($A17,'Fee Switch-Off'!$A$5:$A$30,0))</f>
        <v>0</v>
      </c>
      <c r="F17" s="17">
        <f>ROUND(C17*D17/100+1E-9,2)</f>
        <v>1063.37</v>
      </c>
      <c r="G17" s="17">
        <f>ROUND(C17*E17/100+1E-9,2)</f>
        <v>0</v>
      </c>
      <c r="H17" s="17">
        <f>ROUND(F17/Assumptions!$B$4+1E-9,2)</f>
        <v>88.61</v>
      </c>
      <c r="I17" s="17">
        <f>ROUND(G17/Assumptions!$B$4+1E-9,2)</f>
        <v>0</v>
      </c>
      <c r="J17" s="17">
        <f>ROUND(H17-I17+1E-9,2)</f>
        <v>88.61</v>
      </c>
      <c r="K17" s="30">
        <v>46253</v>
      </c>
      <c r="L17" s="31">
        <f>EDATE(K17,-1)</f>
        <v>46222</v>
      </c>
      <c r="M17" s="27">
        <f>K17-L17</f>
        <v>31</v>
      </c>
      <c r="N17" s="31">
        <f>Assumptions!$B$6</f>
        <v>46238</v>
      </c>
      <c r="O17" s="27">
        <f>MAX(0,MIN(M17,K17-N17))</f>
        <v>15</v>
      </c>
      <c r="P17" s="17">
        <f>IF(J17&gt;0,ROUND(J17*O17/M17+1E-9,2),0)</f>
        <v>42.88</v>
      </c>
      <c r="Q17" s="17">
        <f>IF(J17&lt;0,ROUND(-J17*O17/M17+1E-9,2),0)</f>
        <v>0</v>
      </c>
      <c r="R17" s="32">
        <v>100</v>
      </c>
      <c r="S17" s="17">
        <f>ROUND(P17/Assumptions!$B$3*R17/100+1E-9,2)</f>
        <v>37.29</v>
      </c>
      <c r="T17" s="17">
        <f>ROUND(I17/Assumptions!$B$3*O17/M17*R17/100+1E-9,2)</f>
        <v>0</v>
      </c>
      <c r="U17" s="16">
        <f>ROUND(E17/Assumptions!$B$3*R17/100+1E-9,3)</f>
        <v>0</v>
      </c>
      <c r="V17" s="17">
        <f>INDEX('Fee Switch-Off'!$F$5:$F$30,MATCH($A17,'Fee Switch-Off'!$A$5:$A$30,0))</f>
        <v>5000</v>
      </c>
      <c r="W17" s="17">
        <f>-S17</f>
        <v>-37.29</v>
      </c>
    </row>
    <row r="18" spans="1:23" x14ac:dyDescent="0.25">
      <c r="A18" s="13" t="s">
        <v>96</v>
      </c>
      <c r="B18" s="5" t="str">
        <f>INDEX('Fee Switch-Off'!$B$5:$B$30,MATCH($A18,'Fee Switch-Off'!$A$5:$A$30,0))</f>
        <v>DEON BEKKER</v>
      </c>
      <c r="C18" s="17">
        <f>INDEX('Fee Switch-Off'!$E$5:$E$30,MATCH($A18,'Fee Switch-Off'!$A$5:$A$30,0))</f>
        <v>42593.76</v>
      </c>
      <c r="D18" s="16">
        <f>INDEX('Fee Switch-Off'!$G$5:$G$30,MATCH($A18,'Fee Switch-Off'!$A$5:$A$30,0))</f>
        <v>1.265</v>
      </c>
      <c r="E18" s="16">
        <f>INDEX('Fee Switch-Off'!$K$5:$K$30,MATCH($A18,'Fee Switch-Off'!$A$5:$A$30,0))</f>
        <v>0</v>
      </c>
      <c r="F18" s="17">
        <f>ROUND(C18*D18/100+1E-9,2)</f>
        <v>538.81</v>
      </c>
      <c r="G18" s="17">
        <f>ROUND(C18*E18/100+1E-9,2)</f>
        <v>0</v>
      </c>
      <c r="H18" s="17">
        <f>ROUND(F18/Assumptions!$B$4+1E-9,2)</f>
        <v>44.9</v>
      </c>
      <c r="I18" s="17">
        <f>ROUND(G18/Assumptions!$B$4+1E-9,2)</f>
        <v>0</v>
      </c>
      <c r="J18" s="17">
        <f>ROUND(H18-I18+1E-9,2)</f>
        <v>44.9</v>
      </c>
      <c r="K18" s="30">
        <v>46256</v>
      </c>
      <c r="L18" s="31">
        <f>EDATE(K18,-1)</f>
        <v>46225</v>
      </c>
      <c r="M18" s="27">
        <f>K18-L18</f>
        <v>31</v>
      </c>
      <c r="N18" s="31">
        <f>Assumptions!$B$6</f>
        <v>46238</v>
      </c>
      <c r="O18" s="27">
        <f>MAX(0,MIN(M18,K18-N18))</f>
        <v>18</v>
      </c>
      <c r="P18" s="17">
        <f>IF(J18&gt;0,ROUND(J18*O18/M18+1E-9,2),0)</f>
        <v>26.07</v>
      </c>
      <c r="Q18" s="17">
        <f>IF(J18&lt;0,ROUND(-J18*O18/M18+1E-9,2),0)</f>
        <v>0</v>
      </c>
      <c r="R18" s="32">
        <v>100</v>
      </c>
      <c r="S18" s="17">
        <f>ROUND(P18/Assumptions!$B$3*R18/100+1E-9,2)</f>
        <v>22.67</v>
      </c>
      <c r="T18" s="17">
        <f>ROUND(I18/Assumptions!$B$3*O18/M18*R18/100+1E-9,2)</f>
        <v>0</v>
      </c>
      <c r="U18" s="16">
        <f>ROUND(E18/Assumptions!$B$3*R18/100+1E-9,3)</f>
        <v>0</v>
      </c>
      <c r="V18" s="17">
        <f>INDEX('Fee Switch-Off'!$F$5:$F$30,MATCH($A18,'Fee Switch-Off'!$A$5:$A$30,0))</f>
        <v>2200</v>
      </c>
      <c r="W18" s="17">
        <f>-S18</f>
        <v>-22.67</v>
      </c>
    </row>
    <row r="19" spans="1:23" x14ac:dyDescent="0.25">
      <c r="A19" s="13" t="s">
        <v>98</v>
      </c>
      <c r="B19" s="5" t="str">
        <f>INDEX('Fee Switch-Off'!$B$5:$B$30,MATCH($A19,'Fee Switch-Off'!$A$5:$A$30,0))</f>
        <v>NALEDI MOKOENA</v>
      </c>
      <c r="C19" s="17">
        <f>INDEX('Fee Switch-Off'!$E$5:$E$30,MATCH($A19,'Fee Switch-Off'!$A$5:$A$30,0))</f>
        <v>19193.72</v>
      </c>
      <c r="D19" s="16">
        <f>INDEX('Fee Switch-Off'!$G$5:$G$30,MATCH($A19,'Fee Switch-Off'!$A$5:$A$30,0))</f>
        <v>0</v>
      </c>
      <c r="E19" s="16">
        <f>INDEX('Fee Switch-Off'!$K$5:$K$30,MATCH($A19,'Fee Switch-Off'!$A$5:$A$30,0))</f>
        <v>0</v>
      </c>
      <c r="F19" s="17">
        <f>ROUND(C19*D19/100+1E-9,2)</f>
        <v>0</v>
      </c>
      <c r="G19" s="17">
        <f>ROUND(C19*E19/100+1E-9,2)</f>
        <v>0</v>
      </c>
      <c r="H19" s="17">
        <f>ROUND(F19/Assumptions!$B$4+1E-9,2)</f>
        <v>0</v>
      </c>
      <c r="I19" s="17">
        <f>ROUND(G19/Assumptions!$B$4+1E-9,2)</f>
        <v>0</v>
      </c>
      <c r="J19" s="17">
        <f>ROUND(H19-I19+1E-9,2)</f>
        <v>0</v>
      </c>
      <c r="K19" s="30">
        <v>46248</v>
      </c>
      <c r="L19" s="31">
        <f>EDATE(K19,-1)</f>
        <v>46217</v>
      </c>
      <c r="M19" s="27">
        <f>K19-L19</f>
        <v>31</v>
      </c>
      <c r="N19" s="31">
        <f>Assumptions!$B$6</f>
        <v>46238</v>
      </c>
      <c r="O19" s="27">
        <f>MAX(0,MIN(M19,K19-N19))</f>
        <v>10</v>
      </c>
      <c r="P19" s="17">
        <f>IF(J19&gt;0,ROUND(J19*O19/M19+1E-9,2),0)</f>
        <v>0</v>
      </c>
      <c r="Q19" s="17">
        <f>IF(J19&lt;0,ROUND(-J19*O19/M19+1E-9,2),0)</f>
        <v>0</v>
      </c>
      <c r="R19" s="32">
        <v>100</v>
      </c>
      <c r="S19" s="17">
        <f>ROUND(P19/Assumptions!$B$3*R19/100+1E-9,2)</f>
        <v>0</v>
      </c>
      <c r="T19" s="17">
        <f>ROUND(I19/Assumptions!$B$3*O19/M19*R19/100+1E-9,2)</f>
        <v>0</v>
      </c>
      <c r="U19" s="16">
        <f>ROUND(E19/Assumptions!$B$3*R19/100+1E-9,3)</f>
        <v>0</v>
      </c>
      <c r="V19" s="17">
        <f>INDEX('Fee Switch-Off'!$F$5:$F$30,MATCH($A19,'Fee Switch-Off'!$A$5:$A$30,0))</f>
        <v>1400</v>
      </c>
      <c r="W19" s="17">
        <f>-S19</f>
        <v>0</v>
      </c>
    </row>
    <row r="20" spans="1:23" x14ac:dyDescent="0.25">
      <c r="A20" s="13" t="s">
        <v>101</v>
      </c>
      <c r="B20" s="5" t="str">
        <f>INDEX('Fee Switch-Off'!$B$5:$B$30,MATCH($A20,'Fee Switch-Off'!$A$5:$A$30,0))</f>
        <v>WERNER COETZEE</v>
      </c>
      <c r="C20" s="17">
        <f>INDEX('Fee Switch-Off'!$E$5:$E$30,MATCH($A20,'Fee Switch-Off'!$A$5:$A$30,0))</f>
        <v>28790.58</v>
      </c>
      <c r="D20" s="16">
        <f>INDEX('Fee Switch-Off'!$G$5:$G$30,MATCH($A20,'Fee Switch-Off'!$A$5:$A$30,0))</f>
        <v>0</v>
      </c>
      <c r="E20" s="16">
        <f>INDEX('Fee Switch-Off'!$K$5:$K$30,MATCH($A20,'Fee Switch-Off'!$A$5:$A$30,0))</f>
        <v>0</v>
      </c>
      <c r="F20" s="17">
        <f>ROUND(C20*D20/100+1E-9,2)</f>
        <v>0</v>
      </c>
      <c r="G20" s="17">
        <f>ROUND(C20*E20/100+1E-9,2)</f>
        <v>0</v>
      </c>
      <c r="H20" s="17">
        <f>ROUND(F20/Assumptions!$B$4+1E-9,2)</f>
        <v>0</v>
      </c>
      <c r="I20" s="17">
        <f>ROUND(G20/Assumptions!$B$4+1E-9,2)</f>
        <v>0</v>
      </c>
      <c r="J20" s="17">
        <f>ROUND(H20-I20+1E-9,2)</f>
        <v>0</v>
      </c>
      <c r="K20" s="30">
        <v>46262</v>
      </c>
      <c r="L20" s="31">
        <f>EDATE(K20,-1)</f>
        <v>46231</v>
      </c>
      <c r="M20" s="27">
        <f>K20-L20</f>
        <v>31</v>
      </c>
      <c r="N20" s="31">
        <f>Assumptions!$B$6</f>
        <v>46238</v>
      </c>
      <c r="O20" s="27">
        <f>MAX(0,MIN(M20,K20-N20))</f>
        <v>24</v>
      </c>
      <c r="P20" s="17">
        <f>IF(J20&gt;0,ROUND(J20*O20/M20+1E-9,2),0)</f>
        <v>0</v>
      </c>
      <c r="Q20" s="17">
        <f>IF(J20&lt;0,ROUND(-J20*O20/M20+1E-9,2),0)</f>
        <v>0</v>
      </c>
      <c r="R20" s="32">
        <v>100</v>
      </c>
      <c r="S20" s="17">
        <f>ROUND(P20/Assumptions!$B$3*R20/100+1E-9,2)</f>
        <v>0</v>
      </c>
      <c r="T20" s="17">
        <f>ROUND(I20/Assumptions!$B$3*O20/M20*R20/100+1E-9,2)</f>
        <v>0</v>
      </c>
      <c r="U20" s="16">
        <f>ROUND(E20/Assumptions!$B$3*R20/100+1E-9,3)</f>
        <v>0</v>
      </c>
      <c r="V20" s="17">
        <f>INDEX('Fee Switch-Off'!$F$5:$F$30,MATCH($A20,'Fee Switch-Off'!$A$5:$A$30,0))</f>
        <v>2100</v>
      </c>
      <c r="W20" s="17">
        <f>-S20</f>
        <v>0</v>
      </c>
    </row>
    <row r="21" spans="1:23" x14ac:dyDescent="0.25">
      <c r="A21" s="13" t="s">
        <v>103</v>
      </c>
      <c r="B21" s="5" t="str">
        <f>INDEX('Fee Switch-Off'!$B$5:$B$30,MATCH($A21,'Fee Switch-Off'!$A$5:$A$30,0))</f>
        <v>ZANELE DUBE</v>
      </c>
      <c r="C21" s="17">
        <f>INDEX('Fee Switch-Off'!$E$5:$E$30,MATCH($A21,'Fee Switch-Off'!$A$5:$A$30,0))</f>
        <v>40335.36</v>
      </c>
      <c r="D21" s="16">
        <f>INDEX('Fee Switch-Off'!$G$5:$G$30,MATCH($A21,'Fee Switch-Off'!$A$5:$A$30,0))</f>
        <v>0</v>
      </c>
      <c r="E21" s="16">
        <f>INDEX('Fee Switch-Off'!$K$5:$K$30,MATCH($A21,'Fee Switch-Off'!$A$5:$A$30,0))</f>
        <v>0</v>
      </c>
      <c r="F21" s="17">
        <f>ROUND(C21*D21/100+1E-9,2)</f>
        <v>0</v>
      </c>
      <c r="G21" s="17">
        <f>ROUND(C21*E21/100+1E-9,2)</f>
        <v>0</v>
      </c>
      <c r="H21" s="17">
        <f>ROUND(F21/Assumptions!$B$4+1E-9,2)</f>
        <v>0</v>
      </c>
      <c r="I21" s="17">
        <f>ROUND(G21/Assumptions!$B$4+1E-9,2)</f>
        <v>0</v>
      </c>
      <c r="J21" s="17">
        <f>ROUND(H21-I21+1E-9,2)</f>
        <v>0</v>
      </c>
      <c r="K21" s="30">
        <v>46253</v>
      </c>
      <c r="L21" s="31">
        <f>EDATE(K21,-1)</f>
        <v>46222</v>
      </c>
      <c r="M21" s="27">
        <f>K21-L21</f>
        <v>31</v>
      </c>
      <c r="N21" s="31">
        <f>Assumptions!$B$6</f>
        <v>46238</v>
      </c>
      <c r="O21" s="27">
        <f>MAX(0,MIN(M21,K21-N21))</f>
        <v>15</v>
      </c>
      <c r="P21" s="17">
        <f>IF(J21&gt;0,ROUND(J21*O21/M21+1E-9,2),0)</f>
        <v>0</v>
      </c>
      <c r="Q21" s="17">
        <f>IF(J21&lt;0,ROUND(-J21*O21/M21+1E-9,2),0)</f>
        <v>0</v>
      </c>
      <c r="R21" s="32">
        <v>100</v>
      </c>
      <c r="S21" s="17">
        <f>ROUND(P21/Assumptions!$B$3*R21/100+1E-9,2)</f>
        <v>0</v>
      </c>
      <c r="T21" s="17">
        <f>ROUND(I21/Assumptions!$B$3*O21/M21*R21/100+1E-9,2)</f>
        <v>0</v>
      </c>
      <c r="U21" s="16">
        <f>ROUND(E21/Assumptions!$B$3*R21/100+1E-9,3)</f>
        <v>0</v>
      </c>
      <c r="V21" s="17">
        <f>INDEX('Fee Switch-Off'!$F$5:$F$30,MATCH($A21,'Fee Switch-Off'!$A$5:$A$30,0))</f>
        <v>3200</v>
      </c>
      <c r="W21" s="17">
        <f>-S21</f>
        <v>0</v>
      </c>
    </row>
    <row r="22" spans="1:23" x14ac:dyDescent="0.25">
      <c r="A22" s="13" t="s">
        <v>105</v>
      </c>
      <c r="B22" s="5" t="str">
        <f>INDEX('Fee Switch-Off'!$B$5:$B$30,MATCH($A22,'Fee Switch-Off'!$A$5:$A$30,0))</f>
        <v>LUNGILE NGCOBO</v>
      </c>
      <c r="C22" s="17">
        <f>INDEX('Fee Switch-Off'!$E$5:$E$30,MATCH($A22,'Fee Switch-Off'!$A$5:$A$30,0))</f>
        <v>19563.94</v>
      </c>
      <c r="D22" s="16">
        <f>INDEX('Fee Switch-Off'!$G$5:$G$30,MATCH($A22,'Fee Switch-Off'!$A$5:$A$30,0))</f>
        <v>0.575</v>
      </c>
      <c r="E22" s="16">
        <f>INDEX('Fee Switch-Off'!$K$5:$K$30,MATCH($A22,'Fee Switch-Off'!$A$5:$A$30,0))</f>
        <v>0</v>
      </c>
      <c r="F22" s="17">
        <f>ROUND(C22*D22/100+1E-9,2)</f>
        <v>112.49</v>
      </c>
      <c r="G22" s="17">
        <f>ROUND(C22*E22/100+1E-9,2)</f>
        <v>0</v>
      </c>
      <c r="H22" s="17">
        <f>ROUND(F22/Assumptions!$B$4+1E-9,2)</f>
        <v>9.37</v>
      </c>
      <c r="I22" s="17">
        <f>ROUND(G22/Assumptions!$B$4+1E-9,2)</f>
        <v>0</v>
      </c>
      <c r="J22" s="17">
        <f>ROUND(H22-I22+1E-9,2)</f>
        <v>9.37</v>
      </c>
      <c r="K22" s="30">
        <v>46266</v>
      </c>
      <c r="L22" s="31">
        <f>EDATE(K22,-1)</f>
        <v>46235</v>
      </c>
      <c r="M22" s="27">
        <f>K22-L22</f>
        <v>31</v>
      </c>
      <c r="N22" s="31">
        <f>Assumptions!$B$6</f>
        <v>46238</v>
      </c>
      <c r="O22" s="27">
        <f>MAX(0,MIN(M22,K22-N22))</f>
        <v>28</v>
      </c>
      <c r="P22" s="17">
        <f>IF(J22&gt;0,ROUND(J22*O22/M22+1E-9,2),0)</f>
        <v>8.46</v>
      </c>
      <c r="Q22" s="17">
        <f>IF(J22&lt;0,ROUND(-J22*O22/M22+1E-9,2),0)</f>
        <v>0</v>
      </c>
      <c r="R22" s="32">
        <v>100</v>
      </c>
      <c r="S22" s="17">
        <f>ROUND(P22/Assumptions!$B$3*R22/100+1E-9,2)</f>
        <v>7.36</v>
      </c>
      <c r="T22" s="17">
        <f>ROUND(I22/Assumptions!$B$3*O22/M22*R22/100+1E-9,2)</f>
        <v>0</v>
      </c>
      <c r="U22" s="16">
        <f>ROUND(E22/Assumptions!$B$3*R22/100+1E-9,3)</f>
        <v>0</v>
      </c>
      <c r="V22" s="17">
        <f>INDEX('Fee Switch-Off'!$F$5:$F$30,MATCH($A22,'Fee Switch-Off'!$A$5:$A$30,0))</f>
        <v>1700</v>
      </c>
      <c r="W22" s="17">
        <f>-S22</f>
        <v>-7.36</v>
      </c>
    </row>
    <row r="23" spans="1:23" x14ac:dyDescent="0.25">
      <c r="A23" s="13" t="s">
        <v>108</v>
      </c>
      <c r="B23" s="5" t="str">
        <f>INDEX('Fee Switch-Off'!$B$5:$B$30,MATCH($A23,'Fee Switch-Off'!$A$5:$A$30,0))</f>
        <v>MEGAN FOURIE</v>
      </c>
      <c r="C23" s="17">
        <f>INDEX('Fee Switch-Off'!$E$5:$E$30,MATCH($A23,'Fee Switch-Off'!$A$5:$A$30,0))</f>
        <v>13025</v>
      </c>
      <c r="D23" s="16">
        <f>INDEX('Fee Switch-Off'!$G$5:$G$30,MATCH($A23,'Fee Switch-Off'!$A$5:$A$30,0))</f>
        <v>1.15</v>
      </c>
      <c r="E23" s="16">
        <f>INDEX('Fee Switch-Off'!$K$5:$K$30,MATCH($A23,'Fee Switch-Off'!$A$5:$A$30,0))</f>
        <v>0</v>
      </c>
      <c r="F23" s="17">
        <f>ROUND(C23*D23/100+1E-9,2)</f>
        <v>149.79</v>
      </c>
      <c r="G23" s="17">
        <f>ROUND(C23*E23/100+1E-9,2)</f>
        <v>0</v>
      </c>
      <c r="H23" s="17">
        <f>ROUND(F23/Assumptions!$B$4+1E-9,2)</f>
        <v>12.48</v>
      </c>
      <c r="I23" s="17">
        <f>ROUND(G23/Assumptions!$B$4+1E-9,2)</f>
        <v>0</v>
      </c>
      <c r="J23" s="17">
        <f>ROUND(H23-I23+1E-9,2)</f>
        <v>12.48</v>
      </c>
      <c r="K23" s="30">
        <v>46249</v>
      </c>
      <c r="L23" s="31">
        <f>EDATE(K23,-1)</f>
        <v>46218</v>
      </c>
      <c r="M23" s="27">
        <f>K23-L23</f>
        <v>31</v>
      </c>
      <c r="N23" s="31">
        <f>Assumptions!$B$6</f>
        <v>46238</v>
      </c>
      <c r="O23" s="27">
        <f>MAX(0,MIN(M23,K23-N23))</f>
        <v>11</v>
      </c>
      <c r="P23" s="17">
        <f>IF(J23&gt;0,ROUND(J23*O23/M23+1E-9,2),0)</f>
        <v>4.43</v>
      </c>
      <c r="Q23" s="17">
        <f>IF(J23&lt;0,ROUND(-J23*O23/M23+1E-9,2),0)</f>
        <v>0</v>
      </c>
      <c r="R23" s="32">
        <v>100</v>
      </c>
      <c r="S23" s="17">
        <f>ROUND(P23/Assumptions!$B$3*R23/100+1E-9,2)</f>
        <v>3.85</v>
      </c>
      <c r="T23" s="17">
        <f>ROUND(I23/Assumptions!$B$3*O23/M23*R23/100+1E-9,2)</f>
        <v>0</v>
      </c>
      <c r="U23" s="16">
        <f>ROUND(E23/Assumptions!$B$3*R23/100+1E-9,3)</f>
        <v>0</v>
      </c>
      <c r="V23" s="17">
        <f>INDEX('Fee Switch-Off'!$F$5:$F$30,MATCH($A23,'Fee Switch-Off'!$A$5:$A$30,0))</f>
        <v>1250</v>
      </c>
      <c r="W23" s="17">
        <f>-S23</f>
        <v>-3.85</v>
      </c>
    </row>
    <row r="24" spans="1:23" x14ac:dyDescent="0.25">
      <c r="A24" s="13" t="s">
        <v>111</v>
      </c>
      <c r="B24" s="5" t="str">
        <f>INDEX('Fee Switch-Off'!$B$5:$B$30,MATCH($A24,'Fee Switch-Off'!$A$5:$A$30,0))</f>
        <v>TSHEPO MASEKO</v>
      </c>
      <c r="C24" s="17">
        <f>INDEX('Fee Switch-Off'!$E$5:$E$30,MATCH($A24,'Fee Switch-Off'!$A$5:$A$30,0))</f>
        <v>24284.52</v>
      </c>
      <c r="D24" s="16">
        <f>INDEX('Fee Switch-Off'!$G$5:$G$30,MATCH($A24,'Fee Switch-Off'!$A$5:$A$30,0))</f>
        <v>1.15</v>
      </c>
      <c r="E24" s="16">
        <f>INDEX('Fee Switch-Off'!$K$5:$K$30,MATCH($A24,'Fee Switch-Off'!$A$5:$A$30,0))</f>
        <v>0</v>
      </c>
      <c r="F24" s="17">
        <f>ROUND(C24*D24/100+1E-9,2)</f>
        <v>279.27</v>
      </c>
      <c r="G24" s="17">
        <f>ROUND(C24*E24/100+1E-9,2)</f>
        <v>0</v>
      </c>
      <c r="H24" s="17">
        <f>ROUND(F24/Assumptions!$B$4+1E-9,2)</f>
        <v>23.27</v>
      </c>
      <c r="I24" s="17">
        <f>ROUND(G24/Assumptions!$B$4+1E-9,2)</f>
        <v>0</v>
      </c>
      <c r="J24" s="17">
        <f>ROUND(H24-I24+1E-9,2)</f>
        <v>23.27</v>
      </c>
      <c r="K24" s="30">
        <v>46268</v>
      </c>
      <c r="L24" s="31">
        <f>EDATE(K24,-1)</f>
        <v>46237</v>
      </c>
      <c r="M24" s="27">
        <f>K24-L24</f>
        <v>31</v>
      </c>
      <c r="N24" s="31">
        <f>Assumptions!$B$6</f>
        <v>46238</v>
      </c>
      <c r="O24" s="27">
        <f>MAX(0,MIN(M24,K24-N24))</f>
        <v>30</v>
      </c>
      <c r="P24" s="17">
        <f>IF(J24&gt;0,ROUND(J24*O24/M24+1E-9,2),0)</f>
        <v>22.52</v>
      </c>
      <c r="Q24" s="17">
        <f>IF(J24&lt;0,ROUND(-J24*O24/M24+1E-9,2),0)</f>
        <v>0</v>
      </c>
      <c r="R24" s="32">
        <v>100</v>
      </c>
      <c r="S24" s="17">
        <f>ROUND(P24/Assumptions!$B$3*R24/100+1E-9,2)</f>
        <v>19.58</v>
      </c>
      <c r="T24" s="17">
        <f>ROUND(I24/Assumptions!$B$3*O24/M24*R24/100+1E-9,2)</f>
        <v>0</v>
      </c>
      <c r="U24" s="16">
        <f>ROUND(E24/Assumptions!$B$3*R24/100+1E-9,3)</f>
        <v>0</v>
      </c>
      <c r="V24" s="17">
        <f>INDEX('Fee Switch-Off'!$F$5:$F$30,MATCH($A24,'Fee Switch-Off'!$A$5:$A$30,0))</f>
        <v>2600</v>
      </c>
      <c r="W24" s="17">
        <f>-S24</f>
        <v>-19.58</v>
      </c>
    </row>
    <row r="25" spans="1:23" x14ac:dyDescent="0.25">
      <c r="A25" s="13" t="s">
        <v>114</v>
      </c>
      <c r="B25" s="5" t="str">
        <f>INDEX('Fee Switch-Off'!$B$5:$B$30,MATCH($A25,'Fee Switch-Off'!$A$5:$A$30,0))</f>
        <v>NOMPUMELELO SHABALALA</v>
      </c>
      <c r="C25" s="17">
        <f>INDEX('Fee Switch-Off'!$E$5:$E$30,MATCH($A25,'Fee Switch-Off'!$A$5:$A$30,0))</f>
        <v>8406.18</v>
      </c>
      <c r="D25" s="16">
        <f>INDEX('Fee Switch-Off'!$G$5:$G$30,MATCH($A25,'Fee Switch-Off'!$A$5:$A$30,0))</f>
        <v>0.575</v>
      </c>
      <c r="E25" s="16">
        <f>INDEX('Fee Switch-Off'!$K$5:$K$30,MATCH($A25,'Fee Switch-Off'!$A$5:$A$30,0))</f>
        <v>0</v>
      </c>
      <c r="F25" s="17">
        <f>ROUND(C25*D25/100+1E-9,2)</f>
        <v>48.34</v>
      </c>
      <c r="G25" s="17">
        <f>ROUND(C25*E25/100+1E-9,2)</f>
        <v>0</v>
      </c>
      <c r="H25" s="17">
        <f>ROUND(F25/Assumptions!$B$4+1E-9,2)</f>
        <v>4.03</v>
      </c>
      <c r="I25" s="17">
        <f>ROUND(G25/Assumptions!$B$4+1E-9,2)</f>
        <v>0</v>
      </c>
      <c r="J25" s="17">
        <f>ROUND(H25-I25+1E-9,2)</f>
        <v>4.03</v>
      </c>
      <c r="K25" s="30">
        <v>46258</v>
      </c>
      <c r="L25" s="31">
        <f>EDATE(K25,-1)</f>
        <v>46227</v>
      </c>
      <c r="M25" s="27">
        <f>K25-L25</f>
        <v>31</v>
      </c>
      <c r="N25" s="31">
        <f>Assumptions!$B$6</f>
        <v>46238</v>
      </c>
      <c r="O25" s="27">
        <f>MAX(0,MIN(M25,K25-N25))</f>
        <v>20</v>
      </c>
      <c r="P25" s="17">
        <f>IF(J25&gt;0,ROUND(J25*O25/M25+1E-9,2),0)</f>
        <v>2.6</v>
      </c>
      <c r="Q25" s="17">
        <f>IF(J25&lt;0,ROUND(-J25*O25/M25+1E-9,2),0)</f>
        <v>0</v>
      </c>
      <c r="R25" s="32">
        <v>100</v>
      </c>
      <c r="S25" s="17">
        <f>ROUND(P25/Assumptions!$B$3*R25/100+1E-9,2)</f>
        <v>2.26</v>
      </c>
      <c r="T25" s="17">
        <f>ROUND(I25/Assumptions!$B$3*O25/M25*R25/100+1E-9,2)</f>
        <v>0</v>
      </c>
      <c r="U25" s="16">
        <f>ROUND(E25/Assumptions!$B$3*R25/100+1E-9,3)</f>
        <v>0</v>
      </c>
      <c r="V25" s="17">
        <f>INDEX('Fee Switch-Off'!$F$5:$F$30,MATCH($A25,'Fee Switch-Off'!$A$5:$A$30,0))</f>
        <v>900</v>
      </c>
      <c r="W25" s="17">
        <f>-S25</f>
        <v>-2.26</v>
      </c>
    </row>
    <row r="26" spans="1:23" x14ac:dyDescent="0.25">
      <c r="A26" s="13" t="s">
        <v>117</v>
      </c>
      <c r="B26" s="5" t="str">
        <f>INDEX('Fee Switch-Off'!$B$5:$B$30,MATCH($A26,'Fee Switch-Off'!$A$5:$A$30,0))</f>
        <v>GARETH NAIDOO</v>
      </c>
      <c r="C26" s="17">
        <f>INDEX('Fee Switch-Off'!$E$5:$E$30,MATCH($A26,'Fee Switch-Off'!$A$5:$A$30,0))</f>
        <v>22739.2</v>
      </c>
      <c r="D26" s="16">
        <f>INDEX('Fee Switch-Off'!$G$5:$G$30,MATCH($A26,'Fee Switch-Off'!$A$5:$A$30,0))</f>
        <v>1.15</v>
      </c>
      <c r="E26" s="16">
        <f>INDEX('Fee Switch-Off'!$K$5:$K$30,MATCH($A26,'Fee Switch-Off'!$A$5:$A$30,0))</f>
        <v>0</v>
      </c>
      <c r="F26" s="17">
        <f>ROUND(C26*D26/100+1E-9,2)</f>
        <v>261.5</v>
      </c>
      <c r="G26" s="17">
        <f>ROUND(C26*E26/100+1E-9,2)</f>
        <v>0</v>
      </c>
      <c r="H26" s="17">
        <f>ROUND(F26/Assumptions!$B$4+1E-9,2)</f>
        <v>21.79</v>
      </c>
      <c r="I26" s="17">
        <f>ROUND(G26/Assumptions!$B$4+1E-9,2)</f>
        <v>0</v>
      </c>
      <c r="J26" s="17">
        <f>ROUND(H26-I26+1E-9,2)</f>
        <v>21.79</v>
      </c>
      <c r="K26" s="30">
        <v>46242</v>
      </c>
      <c r="L26" s="31">
        <f>EDATE(K26,-1)</f>
        <v>46211</v>
      </c>
      <c r="M26" s="27">
        <f>K26-L26</f>
        <v>31</v>
      </c>
      <c r="N26" s="31">
        <f>Assumptions!$B$6</f>
        <v>46238</v>
      </c>
      <c r="O26" s="27">
        <f>MAX(0,MIN(M26,K26-N26))</f>
        <v>4</v>
      </c>
      <c r="P26" s="17">
        <f>IF(J26&gt;0,ROUND(J26*O26/M26+1E-9,2),0)</f>
        <v>2.81</v>
      </c>
      <c r="Q26" s="17">
        <f>IF(J26&lt;0,ROUND(-J26*O26/M26+1E-9,2),0)</f>
        <v>0</v>
      </c>
      <c r="R26" s="32">
        <v>100</v>
      </c>
      <c r="S26" s="17">
        <f>ROUND(P26/Assumptions!$B$3*R26/100+1E-9,2)</f>
        <v>2.44</v>
      </c>
      <c r="T26" s="17">
        <f>ROUND(I26/Assumptions!$B$3*O26/M26*R26/100+1E-9,2)</f>
        <v>0</v>
      </c>
      <c r="U26" s="16">
        <f>ROUND(E26/Assumptions!$B$3*R26/100+1E-9,3)</f>
        <v>0</v>
      </c>
      <c r="V26" s="17">
        <f>INDEX('Fee Switch-Off'!$F$5:$F$30,MATCH($A26,'Fee Switch-Off'!$A$5:$A$30,0))</f>
        <v>2750</v>
      </c>
      <c r="W26" s="17">
        <f>-S26</f>
        <v>-2.44</v>
      </c>
    </row>
    <row r="27" spans="1:23" x14ac:dyDescent="0.25">
      <c r="A27" s="13" t="s">
        <v>119</v>
      </c>
      <c r="B27" s="5" t="str">
        <f>INDEX('Fee Switch-Off'!$B$5:$B$30,MATCH($A27,'Fee Switch-Off'!$A$5:$A$30,0))</f>
        <v>BUSISIWE MTHEMBU</v>
      </c>
      <c r="C27" s="17">
        <f>INDEX('Fee Switch-Off'!$E$5:$E$30,MATCH($A27,'Fee Switch-Off'!$A$5:$A$30,0))</f>
        <v>21617.4</v>
      </c>
      <c r="D27" s="16">
        <f>INDEX('Fee Switch-Off'!$G$5:$G$30,MATCH($A27,'Fee Switch-Off'!$A$5:$A$30,0))</f>
        <v>1.15</v>
      </c>
      <c r="E27" s="16">
        <f>INDEX('Fee Switch-Off'!$K$5:$K$30,MATCH($A27,'Fee Switch-Off'!$A$5:$A$30,0))</f>
        <v>0</v>
      </c>
      <c r="F27" s="17">
        <f>ROUND(C27*D27/100+1E-9,2)</f>
        <v>248.6</v>
      </c>
      <c r="G27" s="17">
        <f>ROUND(C27*E27/100+1E-9,2)</f>
        <v>0</v>
      </c>
      <c r="H27" s="17">
        <f>ROUND(F27/Assumptions!$B$4+1E-9,2)</f>
        <v>20.72</v>
      </c>
      <c r="I27" s="17">
        <f>ROUND(G27/Assumptions!$B$4+1E-9,2)</f>
        <v>0</v>
      </c>
      <c r="J27" s="17">
        <f>ROUND(H27-I27+1E-9,2)</f>
        <v>20.72</v>
      </c>
      <c r="K27" s="30">
        <v>46247</v>
      </c>
      <c r="L27" s="31">
        <f>EDATE(K27,-1)</f>
        <v>46216</v>
      </c>
      <c r="M27" s="27">
        <f>K27-L27</f>
        <v>31</v>
      </c>
      <c r="N27" s="31">
        <f>Assumptions!$B$6</f>
        <v>46238</v>
      </c>
      <c r="O27" s="27">
        <f>MAX(0,MIN(M27,K27-N27))</f>
        <v>9</v>
      </c>
      <c r="P27" s="17">
        <f>IF(J27&gt;0,ROUND(J27*O27/M27+1E-9,2),0)</f>
        <v>6.02</v>
      </c>
      <c r="Q27" s="17">
        <f>IF(J27&lt;0,ROUND(-J27*O27/M27+1E-9,2),0)</f>
        <v>0</v>
      </c>
      <c r="R27" s="32">
        <v>100</v>
      </c>
      <c r="S27" s="17">
        <f>ROUND(P27/Assumptions!$B$3*R27/100+1E-9,2)</f>
        <v>5.23</v>
      </c>
      <c r="T27" s="17">
        <f>ROUND(I27/Assumptions!$B$3*O27/M27*R27/100+1E-9,2)</f>
        <v>0</v>
      </c>
      <c r="U27" s="16">
        <f>ROUND(E27/Assumptions!$B$3*R27/100+1E-9,3)</f>
        <v>0</v>
      </c>
      <c r="V27" s="17">
        <f>INDEX('Fee Switch-Off'!$F$5:$F$30,MATCH($A27,'Fee Switch-Off'!$A$5:$A$30,0))</f>
        <v>3000</v>
      </c>
      <c r="W27" s="17">
        <f>-S27</f>
        <v>-5.23</v>
      </c>
    </row>
    <row r="28" spans="1:23" x14ac:dyDescent="0.25">
      <c r="A28" s="13" t="s">
        <v>122</v>
      </c>
      <c r="B28" s="5" t="str">
        <f>INDEX('Fee Switch-Off'!$B$5:$B$30,MATCH($A28,'Fee Switch-Off'!$A$5:$A$30,0))</f>
        <v>ANDRE DU PLESSIS</v>
      </c>
      <c r="C28" s="17">
        <f>INDEX('Fee Switch-Off'!$E$5:$E$30,MATCH($A28,'Fee Switch-Off'!$A$5:$A$30,0))</f>
        <v>14411.6</v>
      </c>
      <c r="D28" s="16">
        <f>INDEX('Fee Switch-Off'!$G$5:$G$30,MATCH($A28,'Fee Switch-Off'!$A$5:$A$30,0))</f>
        <v>1.15</v>
      </c>
      <c r="E28" s="16">
        <f>INDEX('Fee Switch-Off'!$K$5:$K$30,MATCH($A28,'Fee Switch-Off'!$A$5:$A$30,0))</f>
        <v>0</v>
      </c>
      <c r="F28" s="17">
        <f>ROUND(C28*D28/100+1E-9,2)</f>
        <v>165.73</v>
      </c>
      <c r="G28" s="17">
        <f>ROUND(C28*E28/100+1E-9,2)</f>
        <v>0</v>
      </c>
      <c r="H28" s="17">
        <f>ROUND(F28/Assumptions!$B$4+1E-9,2)</f>
        <v>13.81</v>
      </c>
      <c r="I28" s="17">
        <f>ROUND(G28/Assumptions!$B$4+1E-9,2)</f>
        <v>0</v>
      </c>
      <c r="J28" s="17">
        <f>ROUND(H28-I28+1E-9,2)</f>
        <v>13.81</v>
      </c>
      <c r="K28" s="30">
        <v>46254</v>
      </c>
      <c r="L28" s="31">
        <f>EDATE(K28,-1)</f>
        <v>46223</v>
      </c>
      <c r="M28" s="27">
        <f>K28-L28</f>
        <v>31</v>
      </c>
      <c r="N28" s="31">
        <f>Assumptions!$B$6</f>
        <v>46238</v>
      </c>
      <c r="O28" s="27">
        <f>MAX(0,MIN(M28,K28-N28))</f>
        <v>16</v>
      </c>
      <c r="P28" s="17">
        <f>IF(J28&gt;0,ROUND(J28*O28/M28+1E-9,2),0)</f>
        <v>7.13</v>
      </c>
      <c r="Q28" s="17">
        <f>IF(J28&lt;0,ROUND(-J28*O28/M28+1E-9,2),0)</f>
        <v>0</v>
      </c>
      <c r="R28" s="32">
        <v>100</v>
      </c>
      <c r="S28" s="17">
        <f>ROUND(P28/Assumptions!$B$3*R28/100+1E-9,2)</f>
        <v>6.2</v>
      </c>
      <c r="T28" s="17">
        <f>ROUND(I28/Assumptions!$B$3*O28/M28*R28/100+1E-9,2)</f>
        <v>0</v>
      </c>
      <c r="U28" s="16">
        <f>ROUND(E28/Assumptions!$B$3*R28/100+1E-9,3)</f>
        <v>0</v>
      </c>
      <c r="V28" s="17">
        <f>INDEX('Fee Switch-Off'!$F$5:$F$30,MATCH($A28,'Fee Switch-Off'!$A$5:$A$30,0))</f>
        <v>2000</v>
      </c>
      <c r="W28" s="17">
        <f>-S28</f>
        <v>-6.2</v>
      </c>
    </row>
    <row r="29" spans="1:23" x14ac:dyDescent="0.25">
      <c r="A29" s="13" t="s">
        <v>124</v>
      </c>
      <c r="B29" s="5" t="str">
        <f>INDEX('Fee Switch-Off'!$B$5:$B$30,MATCH($A29,'Fee Switch-Off'!$A$5:$A$30,0))</f>
        <v>PALESA RADEBE</v>
      </c>
      <c r="C29" s="17">
        <f>INDEX('Fee Switch-Off'!$E$5:$E$30,MATCH($A29,'Fee Switch-Off'!$A$5:$A$30,0))</f>
        <v>12970.44</v>
      </c>
      <c r="D29" s="16">
        <f>INDEX('Fee Switch-Off'!$G$5:$G$30,MATCH($A29,'Fee Switch-Off'!$A$5:$A$30,0))</f>
        <v>0.575</v>
      </c>
      <c r="E29" s="16">
        <f>INDEX('Fee Switch-Off'!$K$5:$K$30,MATCH($A29,'Fee Switch-Off'!$A$5:$A$30,0))</f>
        <v>0</v>
      </c>
      <c r="F29" s="17">
        <f>ROUND(C29*D29/100+1E-9,2)</f>
        <v>74.58</v>
      </c>
      <c r="G29" s="17">
        <f>ROUND(C29*E29/100+1E-9,2)</f>
        <v>0</v>
      </c>
      <c r="H29" s="17">
        <f>ROUND(F29/Assumptions!$B$4+1E-9,2)</f>
        <v>6.22</v>
      </c>
      <c r="I29" s="17">
        <f>ROUND(G29/Assumptions!$B$4+1E-9,2)</f>
        <v>0</v>
      </c>
      <c r="J29" s="17">
        <f>ROUND(H29-I29+1E-9,2)</f>
        <v>6.22</v>
      </c>
      <c r="K29" s="30">
        <v>46261</v>
      </c>
      <c r="L29" s="31">
        <f>EDATE(K29,-1)</f>
        <v>46230</v>
      </c>
      <c r="M29" s="27">
        <f>K29-L29</f>
        <v>31</v>
      </c>
      <c r="N29" s="31">
        <f>Assumptions!$B$6</f>
        <v>46238</v>
      </c>
      <c r="O29" s="27">
        <f>MAX(0,MIN(M29,K29-N29))</f>
        <v>23</v>
      </c>
      <c r="P29" s="17">
        <f>IF(J29&gt;0,ROUND(J29*O29/M29+1E-9,2),0)</f>
        <v>4.61</v>
      </c>
      <c r="Q29" s="17">
        <f>IF(J29&lt;0,ROUND(-J29*O29/M29+1E-9,2),0)</f>
        <v>0</v>
      </c>
      <c r="R29" s="32">
        <v>100</v>
      </c>
      <c r="S29" s="17">
        <f>ROUND(P29/Assumptions!$B$3*R29/100+1E-9,2)</f>
        <v>4.01</v>
      </c>
      <c r="T29" s="17">
        <f>ROUND(I29/Assumptions!$B$3*O29/M29*R29/100+1E-9,2)</f>
        <v>0</v>
      </c>
      <c r="U29" s="16">
        <f>ROUND(E29/Assumptions!$B$3*R29/100+1E-9,3)</f>
        <v>0</v>
      </c>
      <c r="V29" s="17">
        <f>INDEX('Fee Switch-Off'!$F$5:$F$30,MATCH($A29,'Fee Switch-Off'!$A$5:$A$30,0))</f>
        <v>1800</v>
      </c>
      <c r="W29" s="17">
        <f>-S29</f>
        <v>-4.01</v>
      </c>
    </row>
    <row r="30" spans="1:23" x14ac:dyDescent="0.25">
      <c r="A30" s="13" t="s">
        <v>126</v>
      </c>
      <c r="B30" s="5" t="str">
        <f>INDEX('Fee Switch-Off'!$B$5:$B$30,MATCH($A30,'Fee Switch-Off'!$A$5:$A$30,0))</f>
        <v>RUBEN PILLAY</v>
      </c>
      <c r="C30" s="17">
        <f>INDEX('Fee Switch-Off'!$E$5:$E$30,MATCH($A30,'Fee Switch-Off'!$A$5:$A$30,0))</f>
        <v>17293.92</v>
      </c>
      <c r="D30" s="16">
        <f>INDEX('Fee Switch-Off'!$G$5:$G$30,MATCH($A30,'Fee Switch-Off'!$A$5:$A$30,0))</f>
        <v>1.15</v>
      </c>
      <c r="E30" s="16">
        <f>INDEX('Fee Switch-Off'!$K$5:$K$30,MATCH($A30,'Fee Switch-Off'!$A$5:$A$30,0))</f>
        <v>0</v>
      </c>
      <c r="F30" s="17">
        <f>ROUND(C30*D30/100+1E-9,2)</f>
        <v>198.88</v>
      </c>
      <c r="G30" s="17">
        <f>ROUND(C30*E30/100+1E-9,2)</f>
        <v>0</v>
      </c>
      <c r="H30" s="17">
        <f>ROUND(F30/Assumptions!$B$4+1E-9,2)</f>
        <v>16.57</v>
      </c>
      <c r="I30" s="17">
        <f>ROUND(G30/Assumptions!$B$4+1E-9,2)</f>
        <v>0</v>
      </c>
      <c r="J30" s="17">
        <f>ROUND(H30-I30+1E-9,2)</f>
        <v>16.57</v>
      </c>
      <c r="K30" s="30">
        <v>46263</v>
      </c>
      <c r="L30" s="31">
        <f>EDATE(K30,-1)</f>
        <v>46232</v>
      </c>
      <c r="M30" s="27">
        <f>K30-L30</f>
        <v>31</v>
      </c>
      <c r="N30" s="31">
        <f>Assumptions!$B$6</f>
        <v>46238</v>
      </c>
      <c r="O30" s="27">
        <f>MAX(0,MIN(M30,K30-N30))</f>
        <v>25</v>
      </c>
      <c r="P30" s="17">
        <f>IF(J30&gt;0,ROUND(J30*O30/M30+1E-9,2),0)</f>
        <v>13.36</v>
      </c>
      <c r="Q30" s="17">
        <f>IF(J30&lt;0,ROUND(-J30*O30/M30+1E-9,2),0)</f>
        <v>0</v>
      </c>
      <c r="R30" s="32">
        <v>100</v>
      </c>
      <c r="S30" s="17">
        <f>ROUND(P30/Assumptions!$B$3*R30/100+1E-9,2)</f>
        <v>11.62</v>
      </c>
      <c r="T30" s="17">
        <f>ROUND(I30/Assumptions!$B$3*O30/M30*R30/100+1E-9,2)</f>
        <v>0</v>
      </c>
      <c r="U30" s="16">
        <f>ROUND(E30/Assumptions!$B$3*R30/100+1E-9,3)</f>
        <v>0</v>
      </c>
      <c r="V30" s="17">
        <f>INDEX('Fee Switch-Off'!$F$5:$F$30,MATCH($A30,'Fee Switch-Off'!$A$5:$A$30,0))</f>
        <v>2400</v>
      </c>
      <c r="W30" s="17">
        <f>-S30</f>
        <v>-11.62</v>
      </c>
    </row>
  </sheetData>
  <autoFilter ref="A4:W3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H108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8" customWidth="1"/>
    <col min="4" max="4" width="10" customWidth="1"/>
    <col min="5" max="5" width="11" customWidth="1"/>
    <col min="6" max="6" width="13" customWidth="1"/>
    <col min="7" max="7" width="12" customWidth="1"/>
    <col min="8" max="8" width="10" customWidth="1"/>
    <col min="9" max="9" width="12" customWidth="1"/>
    <col min="10" max="11" width="10" customWidth="1"/>
    <col min="13" max="13" width="11" customWidth="1"/>
    <col min="14" max="14" width="14" customWidth="1"/>
    <col min="15" max="16" width="10" customWidth="1"/>
    <col min="17" max="17" width="11" customWidth="1"/>
    <col min="18" max="18" width="14" customWidth="1"/>
    <col min="19" max="20" width="10" customWidth="1"/>
    <col min="21" max="21" width="11" customWidth="1"/>
    <col min="22" max="22" width="14" customWidth="1"/>
    <col min="23" max="24" width="10" customWidth="1"/>
    <col min="25" max="25" width="11" customWidth="1"/>
    <col min="26" max="26" width="14" customWidth="1"/>
    <col min="27" max="28" width="10" customWidth="1"/>
    <col min="29" max="32" width="11" customWidth="1"/>
    <col min="34" max="34" width="11" customWidth="1"/>
  </cols>
  <sheetData>
    <row r="1" spans="1:1" x14ac:dyDescent="0.25">
      <c r="A1" s="4" t="s">
        <v>242</v>
      </c>
    </row>
    <row r="2" spans="1:1" x14ac:dyDescent="0.25">
      <c r="A2" s="7" t="s">
        <v>243</v>
      </c>
    </row>
    <row r="4" ht="48" customHeight="1" spans="1:34" x14ac:dyDescent="0.25">
      <c r="A4" s="11" t="s">
        <v>52</v>
      </c>
      <c r="B4" s="11" t="s">
        <v>244</v>
      </c>
      <c r="C4" s="11" t="s">
        <v>245</v>
      </c>
      <c r="D4" s="11" t="s">
        <v>246</v>
      </c>
      <c r="E4" s="12" t="s">
        <v>247</v>
      </c>
      <c r="F4" s="12" t="s">
        <v>57</v>
      </c>
      <c r="G4" s="12" t="s">
        <v>248</v>
      </c>
      <c r="H4" s="12" t="s">
        <v>249</v>
      </c>
      <c r="I4" s="12" t="s">
        <v>250</v>
      </c>
      <c r="J4" s="12" t="s">
        <v>251</v>
      </c>
      <c r="K4" s="12" t="s">
        <v>252</v>
      </c>
      <c r="L4" s="12" t="s">
        <v>253</v>
      </c>
      <c r="M4" s="12" t="s">
        <v>254</v>
      </c>
      <c r="N4" s="12" t="s">
        <v>255</v>
      </c>
      <c r="O4" s="12" t="s">
        <v>256</v>
      </c>
      <c r="P4" s="12" t="s">
        <v>257</v>
      </c>
      <c r="Q4" s="12" t="s">
        <v>258</v>
      </c>
      <c r="R4" s="12" t="s">
        <v>259</v>
      </c>
      <c r="S4" s="12" t="s">
        <v>260</v>
      </c>
      <c r="T4" s="12" t="s">
        <v>261</v>
      </c>
      <c r="U4" s="12" t="s">
        <v>262</v>
      </c>
      <c r="V4" s="12" t="s">
        <v>263</v>
      </c>
      <c r="W4" s="12" t="s">
        <v>264</v>
      </c>
      <c r="X4" s="12" t="s">
        <v>265</v>
      </c>
      <c r="Y4" s="12" t="s">
        <v>266</v>
      </c>
      <c r="Z4" s="12" t="s">
        <v>267</v>
      </c>
      <c r="AA4" s="12" t="s">
        <v>268</v>
      </c>
      <c r="AB4" s="12" t="s">
        <v>269</v>
      </c>
      <c r="AC4" s="12" t="s">
        <v>270</v>
      </c>
      <c r="AD4" s="12" t="s">
        <v>271</v>
      </c>
      <c r="AE4" s="12" t="s">
        <v>272</v>
      </c>
      <c r="AF4" s="12" t="s">
        <v>273</v>
      </c>
      <c r="AG4" s="12" t="s">
        <v>274</v>
      </c>
      <c r="AH4" s="12" t="s">
        <v>14</v>
      </c>
    </row>
    <row r="5" spans="1:34" x14ac:dyDescent="0.25">
      <c r="A5" s="13" t="s">
        <v>67</v>
      </c>
      <c r="B5" s="23">
        <v>1</v>
      </c>
      <c r="C5" s="18">
        <f>IF(ROUND(D5/12,0)&gt;10,CHOOSE(B5,1,5,10,ROUND(D5/12,0)),CHOOSE(B5,1,3,5,ROUND(D5/12,0)))</f>
        <v>1</v>
      </c>
      <c r="D5" s="23">
        <v>240</v>
      </c>
      <c r="E5" s="18">
        <f>C5*12</f>
        <v>12</v>
      </c>
      <c r="F5" s="17">
        <f>INDEX('Fee Switch-Off'!$F$5:$F$30,MATCH($A5,'Fee Switch-Off'!$A$5:$A$30,0))</f>
        <v>600</v>
      </c>
      <c r="G5" s="32">
        <v>8.6</v>
      </c>
      <c r="H5" s="24">
        <f>IF(ISNUMBER(SEARCH("TFI",INDEX('Fee Switch-Off'!$C$5:$C$30,MATCH($A5,'Fee Switch-Off'!$A$5:$A$30,0)))),Assumptions!$B$8,Assumptions!$B$7)</f>
        <v>0.85</v>
      </c>
      <c r="I5" s="16">
        <f>INDEX('Quote Summary'!$E$5:$E$30,MATCH($A5,'Quote Summary'!$A$5:$A$30,0))</f>
        <v>0</v>
      </c>
      <c r="J5" s="24">
        <f>Assumptions!$B$9</f>
        <v>0.35</v>
      </c>
      <c r="K5" s="16">
        <f>Assumptions!$B$10</f>
        <v>1.725</v>
      </c>
      <c r="L5" s="24">
        <f>Assumptions!$B$11</f>
        <v>0</v>
      </c>
      <c r="M5" s="33">
        <f>(G5-(H5+J5+I5+L5))/100</f>
        <v>0.074</v>
      </c>
      <c r="N5" s="17">
        <f>F5*(1-(K5)/100)*(((1+M5)^(E5/12)-1)/((1+M5)^(1/12)-1))*(1+M5)^(1/12)</f>
        <v>7356.328508534984</v>
      </c>
      <c r="O5" s="33">
        <f>(1+RATE(E5,-F5,0,N5,1))^12-1</f>
        <v>0.04032781472953473</v>
      </c>
      <c r="P5" s="34">
        <f>(G5/100-O5)*100</f>
        <v>4.567218527046527</v>
      </c>
      <c r="Q5" s="33">
        <f>(G5-(H5))/100</f>
        <v>0.07749999999999999</v>
      </c>
      <c r="R5" s="17">
        <f>F5*(1-(0)/100)*(((1+Q5)^(E5/12)-1)/((1+Q5)^(1/12)-1))*(1+Q5)^(1/12)</f>
        <v>7498.8035011499505</v>
      </c>
      <c r="S5" s="33">
        <f>(1+RATE(E5,-F5,0,R5,1))^12-1</f>
        <v>0.07749999999999169</v>
      </c>
      <c r="T5" s="34">
        <f>(G5/100-S5)*100</f>
        <v>0.8500000000008306</v>
      </c>
      <c r="U5" s="33">
        <f>(G5-(I5))/100</f>
        <v>0.086</v>
      </c>
      <c r="V5" s="17">
        <f>F5*(1-(0)/100)*(((1+U5)^(E5/12)-1)/((1+U5)^(1/12)-1))*(1+U5)^(1/12)</f>
        <v>7531.172982731053</v>
      </c>
      <c r="W5" s="33">
        <f>(1+RATE(E5,-F5,0,V5,1))^12-1</f>
        <v>0.08600000000000052</v>
      </c>
      <c r="X5" s="34">
        <f>(G5/100-W5)*100</f>
        <v>-5.2735593669694936e-14</v>
      </c>
      <c r="Y5" s="33">
        <f>(G5-(J5))/100</f>
        <v>0.08249999999999999</v>
      </c>
      <c r="Z5" s="17">
        <f>F5*(1-(K5)/100)*(((1+Y5)^(E5/12)-1)/((1+Y5)^(1/12)-1))*(1+Y5)^(1/12)</f>
        <v>7388.170663345767</v>
      </c>
      <c r="AA5" s="33">
        <f>(1+RATE(E5,-F5,0,Z5,1))^12-1</f>
        <v>0.0486012530399722</v>
      </c>
      <c r="AB5" s="34">
        <f>(G5/100-AA5)*100</f>
        <v>3.739874696002779</v>
      </c>
      <c r="AC5" s="34">
        <f>T5+X5+AB5</f>
        <v>4.589874696003557</v>
      </c>
      <c r="AD5" s="24">
        <f>IF(AC5=0,0,ROUND(T5*P5/AC5+1E-9,2))</f>
        <v>0.85</v>
      </c>
      <c r="AE5" s="24">
        <f>IF(AC5=0,0,ROUND(X5*P5/AC5+1E-9,2))</f>
        <v>0</v>
      </c>
      <c r="AF5" s="24">
        <f>IF(AC5=0,0,ROUND(AB5*P5/AC5+1E-9,2))</f>
        <v>3.72</v>
      </c>
      <c r="AG5" s="24">
        <v>0</v>
      </c>
      <c r="AH5" s="35">
        <f>ROUND(AD5+AE5+AF5+AG5+1E-9,2)</f>
        <v>4.57</v>
      </c>
    </row>
    <row r="6" spans="1:34" x14ac:dyDescent="0.25">
      <c r="A6" s="13" t="s">
        <v>67</v>
      </c>
      <c r="B6" s="23">
        <v>2</v>
      </c>
      <c r="C6" s="18">
        <f>IF(ROUND(D6/12,0)&gt;10,CHOOSE(B6,1,5,10,ROUND(D6/12,0)),CHOOSE(B6,1,3,5,ROUND(D6/12,0)))</f>
        <v>5</v>
      </c>
      <c r="D6" s="23">
        <v>240</v>
      </c>
      <c r="E6" s="18">
        <f>C6*12</f>
        <v>60</v>
      </c>
      <c r="F6" s="17">
        <f>INDEX('Fee Switch-Off'!$F$5:$F$30,MATCH($A6,'Fee Switch-Off'!$A$5:$A$30,0))</f>
        <v>600</v>
      </c>
      <c r="G6" s="32">
        <v>8.6</v>
      </c>
      <c r="H6" s="24">
        <f>IF(ISNUMBER(SEARCH("TFI",INDEX('Fee Switch-Off'!$C$5:$C$30,MATCH($A6,'Fee Switch-Off'!$A$5:$A$30,0)))),Assumptions!$B$8,Assumptions!$B$7)</f>
        <v>0.85</v>
      </c>
      <c r="I6" s="16">
        <f>INDEX('Quote Summary'!$E$5:$E$30,MATCH($A6,'Quote Summary'!$A$5:$A$30,0))</f>
        <v>0</v>
      </c>
      <c r="J6" s="24">
        <f>Assumptions!$B$9</f>
        <v>0.35</v>
      </c>
      <c r="K6" s="16">
        <f>Assumptions!$B$10</f>
        <v>1.725</v>
      </c>
      <c r="L6" s="24">
        <f>Assumptions!$B$11</f>
        <v>0</v>
      </c>
      <c r="M6" s="33">
        <f>(G6-(H6+J6+I6+L6))/100</f>
        <v>0.074</v>
      </c>
      <c r="N6" s="17">
        <f>F6*(1-(K6)/100)*(((1+M6)^(E6/12)-1)/((1+M6)^(1/12)-1))*(1+M6)^(1/12)</f>
        <v>42643.28358353977</v>
      </c>
      <c r="O6" s="33">
        <f>(1+RATE(E6,-F6,0,N6,1))^12-1</f>
        <v>0.06705798708496058</v>
      </c>
      <c r="P6" s="34">
        <f>(G6/100-O6)*100</f>
        <v>1.8942012915039412</v>
      </c>
      <c r="Q6" s="33">
        <f>(G6-(H6))/100</f>
        <v>0.07749999999999999</v>
      </c>
      <c r="R6" s="17">
        <f>F6*(1-(0)/100)*(((1+Q6)^(E6/12)-1)/((1+Q6)^(1/12)-1))*(1+Q6)^(1/12)</f>
        <v>43773.71050336293</v>
      </c>
      <c r="S6" s="33">
        <f>(1+RATE(E6,-F6,0,R6,1))^12-1</f>
        <v>0.07749999999999724</v>
      </c>
      <c r="T6" s="34">
        <f>(G6/100-S6)*100</f>
        <v>0.8500000000002755</v>
      </c>
      <c r="U6" s="33">
        <f>(G6-(I6))/100</f>
        <v>0.086</v>
      </c>
      <c r="V6" s="17">
        <f>F6*(1-(0)/100)*(((1+U6)^(E6/12)-1)/((1+U6)^(1/12)-1))*(1+U6)^(1/12)</f>
        <v>44714.04243272794</v>
      </c>
      <c r="W6" s="33">
        <f>(1+RATE(E6,-F6,0,V6,1))^12-1</f>
        <v>0.08600000000000052</v>
      </c>
      <c r="X6" s="34">
        <f>(G6/100-W6)*100</f>
        <v>-5.2735593669694936e-14</v>
      </c>
      <c r="Y6" s="33">
        <f>(G6-(J6))/100</f>
        <v>0.08249999999999999</v>
      </c>
      <c r="Z6" s="17">
        <f>F6*(1-(K6)/100)*(((1+Y6)^(E6/12)-1)/((1+Y6)^(1/12)-1))*(1+Y6)^(1/12)</f>
        <v>43560.036603395885</v>
      </c>
      <c r="AA6" s="33">
        <f>(1+RATE(E6,-F6,0,Z6,1))^12-1</f>
        <v>0.07554529256485698</v>
      </c>
      <c r="AB6" s="34">
        <f>(G6/100-AA6)*100</f>
        <v>1.0454707435143011</v>
      </c>
      <c r="AC6" s="34">
        <f>T6+X6+AB6</f>
        <v>1.895470743514524</v>
      </c>
      <c r="AD6" s="24">
        <f>IF(AC6=0,0,ROUND(T6*P6/AC6+1E-9,2))</f>
        <v>0.85</v>
      </c>
      <c r="AE6" s="24">
        <f>IF(AC6=0,0,ROUND(X6*P6/AC6+1E-9,2))</f>
        <v>0</v>
      </c>
      <c r="AF6" s="24">
        <f>IF(AC6=0,0,ROUND(AB6*P6/AC6+1E-9,2))</f>
        <v>1.04</v>
      </c>
      <c r="AG6" s="24">
        <v>0</v>
      </c>
      <c r="AH6" s="35">
        <f>ROUND(AD6+AE6+AF6+AG6+1E-9,2)</f>
        <v>1.89</v>
      </c>
    </row>
    <row r="7" spans="1:34" x14ac:dyDescent="0.25">
      <c r="A7" s="13" t="s">
        <v>67</v>
      </c>
      <c r="B7" s="23">
        <v>3</v>
      </c>
      <c r="C7" s="18">
        <f>IF(ROUND(D7/12,0)&gt;10,CHOOSE(B7,1,5,10,ROUND(D7/12,0)),CHOOSE(B7,1,3,5,ROUND(D7/12,0)))</f>
        <v>10</v>
      </c>
      <c r="D7" s="23">
        <v>240</v>
      </c>
      <c r="E7" s="18">
        <f>C7*12</f>
        <v>120</v>
      </c>
      <c r="F7" s="17">
        <f>INDEX('Fee Switch-Off'!$F$5:$F$30,MATCH($A7,'Fee Switch-Off'!$A$5:$A$30,0))</f>
        <v>600</v>
      </c>
      <c r="G7" s="32">
        <v>8.6</v>
      </c>
      <c r="H7" s="24">
        <f>IF(ISNUMBER(SEARCH("TFI",INDEX('Fee Switch-Off'!$C$5:$C$30,MATCH($A7,'Fee Switch-Off'!$A$5:$A$30,0)))),Assumptions!$B$8,Assumptions!$B$7)</f>
        <v>0.85</v>
      </c>
      <c r="I7" s="16">
        <f>INDEX('Quote Summary'!$E$5:$E$30,MATCH($A7,'Quote Summary'!$A$5:$A$30,0))</f>
        <v>0</v>
      </c>
      <c r="J7" s="24">
        <f>Assumptions!$B$9</f>
        <v>0.35</v>
      </c>
      <c r="K7" s="16">
        <f>Assumptions!$B$10</f>
        <v>1.725</v>
      </c>
      <c r="L7" s="24">
        <f>Assumptions!$B$11</f>
        <v>0</v>
      </c>
      <c r="M7" s="33">
        <f>(G7-(H7+J7+I7+L7))/100</f>
        <v>0.074</v>
      </c>
      <c r="N7" s="17">
        <f>F7*(1-(K7)/100)*(((1+M7)^(E7/12)-1)/((1+M7)^(1/12)-1))*(1+M7)^(1/12)</f>
        <v>103579.0173775414</v>
      </c>
      <c r="O7" s="33">
        <f>(1+RATE(E7,-F7,0,N7,1))^12-1</f>
        <v>0.07067923499539464</v>
      </c>
      <c r="P7" s="34">
        <f>(G7/100-O7)*100</f>
        <v>1.5320765004605357</v>
      </c>
      <c r="Q7" s="33">
        <f>(G7-(H7))/100</f>
        <v>0.07749999999999999</v>
      </c>
      <c r="R7" s="17">
        <f>F7*(1-(0)/100)*(((1+Q7)^(E7/12)-1)/((1+Q7)^(1/12)-1))*(1+Q7)^(1/12)</f>
        <v>107350.67017143925</v>
      </c>
      <c r="S7" s="33">
        <f>(1+RATE(E7,-F7,0,R7,1))^12-1</f>
        <v>0.07749999999999724</v>
      </c>
      <c r="T7" s="34">
        <f>(G7/100-S7)*100</f>
        <v>0.8500000000002755</v>
      </c>
      <c r="U7" s="33">
        <f>(G7-(I7))/100</f>
        <v>0.086</v>
      </c>
      <c r="V7" s="17">
        <f>F7*(1-(0)/100)*(((1+U7)^(E7/12)-1)/((1+U7)^(1/12)-1))*(1+U7)^(1/12)</f>
        <v>112259.01985956443</v>
      </c>
      <c r="W7" s="33">
        <f>(1+RATE(E7,-F7,0,V7,1))^12-1</f>
        <v>0.08600000000000052</v>
      </c>
      <c r="X7" s="34">
        <f>(G7/100-W7)*100</f>
        <v>-5.2735593669694936e-14</v>
      </c>
      <c r="Y7" s="33">
        <f>(G7-(J7))/100</f>
        <v>0.08249999999999999</v>
      </c>
      <c r="Z7" s="17">
        <f>F7*(1-(K7)/100)*(((1+Y7)^(E7/12)-1)/((1+Y7)^(1/12)-1))*(1+Y7)^(1/12)</f>
        <v>108308.24578921408</v>
      </c>
      <c r="AA7" s="33">
        <f>(1+RATE(E7,-F7,0,Z7,1))^12-1</f>
        <v>0.07919063451727903</v>
      </c>
      <c r="AB7" s="34">
        <f>(G7/100-AA7)*100</f>
        <v>0.6809365482720958</v>
      </c>
      <c r="AC7" s="34">
        <f>T7+X7+AB7</f>
        <v>1.5309365482723187</v>
      </c>
      <c r="AD7" s="24">
        <f>IF(AC7=0,0,ROUND(T7*P7/AC7+1E-9,2))</f>
        <v>0.85</v>
      </c>
      <c r="AE7" s="24">
        <f>IF(AC7=0,0,ROUND(X7*P7/AC7+1E-9,2))</f>
        <v>0</v>
      </c>
      <c r="AF7" s="24">
        <f>IF(AC7=0,0,ROUND(AB7*P7/AC7+1E-9,2))</f>
        <v>0.68</v>
      </c>
      <c r="AG7" s="24">
        <v>0</v>
      </c>
      <c r="AH7" s="35">
        <f>ROUND(AD7+AE7+AF7+AG7+1E-9,2)</f>
        <v>1.53</v>
      </c>
    </row>
    <row r="8" spans="1:34" x14ac:dyDescent="0.25">
      <c r="A8" s="13" t="s">
        <v>67</v>
      </c>
      <c r="B8" s="23">
        <v>4</v>
      </c>
      <c r="C8" s="18">
        <f>IF(ROUND(D8/12,0)&gt;10,CHOOSE(B8,1,5,10,ROUND(D8/12,0)),CHOOSE(B8,1,3,5,ROUND(D8/12,0)))</f>
        <v>20</v>
      </c>
      <c r="D8" s="23">
        <v>240</v>
      </c>
      <c r="E8" s="18">
        <f>C8*12</f>
        <v>240</v>
      </c>
      <c r="F8" s="17">
        <f>INDEX('Fee Switch-Off'!$F$5:$F$30,MATCH($A8,'Fee Switch-Off'!$A$5:$A$30,0))</f>
        <v>600</v>
      </c>
      <c r="G8" s="32">
        <v>8.6</v>
      </c>
      <c r="H8" s="24">
        <f>IF(ISNUMBER(SEARCH("TFI",INDEX('Fee Switch-Off'!$C$5:$C$30,MATCH($A8,'Fee Switch-Off'!$A$5:$A$30,0)))),Assumptions!$B$8,Assumptions!$B$7)</f>
        <v>0.85</v>
      </c>
      <c r="I8" s="16">
        <f>INDEX('Quote Summary'!$E$5:$E$30,MATCH($A8,'Quote Summary'!$A$5:$A$30,0))</f>
        <v>0</v>
      </c>
      <c r="J8" s="24">
        <f>Assumptions!$B$9</f>
        <v>0.35</v>
      </c>
      <c r="K8" s="16">
        <f>Assumptions!$B$10</f>
        <v>1.725</v>
      </c>
      <c r="L8" s="24">
        <f>Assumptions!$B$11</f>
        <v>0</v>
      </c>
      <c r="M8" s="33">
        <f>(G8-(H8+J8+I8+L8))/100</f>
        <v>0.074</v>
      </c>
      <c r="N8" s="17">
        <f>F8*(1-(K8)/100)*(((1+M8)^(E8/12)-1)/((1+M8)^(1/12)-1))*(1+M8)^(1/12)</f>
        <v>315081.0767053239</v>
      </c>
      <c r="O8" s="33">
        <f>(1+RATE(E8,-F8,0,N8,1))^12-1</f>
        <v>0.07248452301117858</v>
      </c>
      <c r="P8" s="34">
        <f>(G8/100-O8)*100</f>
        <v>1.351547698882141</v>
      </c>
      <c r="Q8" s="33">
        <f>(G8-(H8))/100</f>
        <v>0.07749999999999999</v>
      </c>
      <c r="R8" s="17">
        <f>F8*(1-(0)/100)*(((1+Q8)^(E8/12)-1)/((1+Q8)^(1/12)-1))*(1+Q8)^(1/12)</f>
        <v>333803.3937301914</v>
      </c>
      <c r="S8" s="33">
        <f>(1+RATE(E8,-F8,0,R8,1))^12-1</f>
        <v>0.07750000000000301</v>
      </c>
      <c r="T8" s="34">
        <f>(G8/100-S8)*100</f>
        <v>0.8499999999996982</v>
      </c>
      <c r="U8" s="33">
        <f>(G8-(I8))/100</f>
        <v>0.086</v>
      </c>
      <c r="V8" s="17">
        <f>F8*(1-(0)/100)*(((1+U8)^(E8/12)-1)/((1+U8)^(1/12)-1))*(1+U8)^(1/12)</f>
        <v>368423.8470761627</v>
      </c>
      <c r="W8" s="33">
        <f>(1+RATE(E8,-F8,0,V8,1))^12-1</f>
        <v>0.08600000000000052</v>
      </c>
      <c r="X8" s="34">
        <f>(G8/100-W8)*100</f>
        <v>-5.2735593669694936e-14</v>
      </c>
      <c r="Y8" s="33">
        <f>(G8-(J8))/100</f>
        <v>0.08249999999999999</v>
      </c>
      <c r="Z8" s="17">
        <f>F8*(1-(K8)/100)*(((1+Y8)^(E8/12)-1)/((1+Y8)^(1/12)-1))*(1+Y8)^(1/12)</f>
        <v>347607.0740701343</v>
      </c>
      <c r="AA8" s="33">
        <f>(1+RATE(E8,-F8,0,Z8,1))^12-1</f>
        <v>0.08100124577386092</v>
      </c>
      <c r="AB8" s="34">
        <f>(G8/100-AA8)*100</f>
        <v>0.4998754226139074</v>
      </c>
      <c r="AC8" s="34">
        <f>T8+X8+AB8</f>
        <v>1.349875422613553</v>
      </c>
      <c r="AD8" s="24">
        <f>IF(AC8=0,0,ROUND(T8*P8/AC8+1E-9,2))</f>
        <v>0.85</v>
      </c>
      <c r="AE8" s="24">
        <f>IF(AC8=0,0,ROUND(X8*P8/AC8+1E-9,2))</f>
        <v>0</v>
      </c>
      <c r="AF8" s="24">
        <f>IF(AC8=0,0,ROUND(AB8*P8/AC8+1E-9,2))</f>
        <v>0.5</v>
      </c>
      <c r="AG8" s="24">
        <v>0</v>
      </c>
      <c r="AH8" s="35">
        <f>ROUND(AD8+AE8+AF8+AG8+1E-9,2)</f>
        <v>1.35</v>
      </c>
    </row>
    <row r="9" spans="1:34" x14ac:dyDescent="0.25">
      <c r="A9" s="13" t="s">
        <v>71</v>
      </c>
      <c r="B9" s="23">
        <v>1</v>
      </c>
      <c r="C9" s="18">
        <f>IF(ROUND(D9/12,0)&gt;10,CHOOSE(B9,1,5,10,ROUND(D9/12,0)),CHOOSE(B9,1,3,5,ROUND(D9/12,0)))</f>
        <v>1</v>
      </c>
      <c r="D9" s="23">
        <v>240</v>
      </c>
      <c r="E9" s="18">
        <f>C9*12</f>
        <v>12</v>
      </c>
      <c r="F9" s="17">
        <f>INDEX('Fee Switch-Off'!$F$5:$F$30,MATCH($A9,'Fee Switch-Off'!$A$5:$A$30,0))</f>
        <v>2500</v>
      </c>
      <c r="G9" s="32">
        <v>9.05</v>
      </c>
      <c r="H9" s="24">
        <f>IF(ISNUMBER(SEARCH("TFI",INDEX('Fee Switch-Off'!$C$5:$C$30,MATCH($A9,'Fee Switch-Off'!$A$5:$A$30,0)))),Assumptions!$B$8,Assumptions!$B$7)</f>
        <v>0.7</v>
      </c>
      <c r="I9" s="16">
        <f>INDEX('Quote Summary'!$E$5:$E$30,MATCH($A9,'Quote Summary'!$A$5:$A$30,0))</f>
        <v>0</v>
      </c>
      <c r="J9" s="24">
        <f>Assumptions!$B$9</f>
        <v>0.35</v>
      </c>
      <c r="K9" s="16">
        <f>Assumptions!$B$10</f>
        <v>1.725</v>
      </c>
      <c r="L9" s="24">
        <f>Assumptions!$B$11</f>
        <v>0</v>
      </c>
      <c r="M9" s="33">
        <f>(G9-(H9+J9+I9+L9))/100</f>
        <v>0.08000000000000002</v>
      </c>
      <c r="N9" s="17">
        <f>F9*(1-(K9)/100)*(((1+M9)^(E9/12)-1)/((1+M9)^(1/12)-1))*(1+M9)^(1/12)</f>
        <v>30745.054846815878</v>
      </c>
      <c r="O9" s="33">
        <f>(1+RATE(E9,-F9,0,N9,1))^12-1</f>
        <v>0.046167866239746</v>
      </c>
      <c r="P9" s="34">
        <f>(G9/100-O9)*100</f>
        <v>4.4332133760254</v>
      </c>
      <c r="Q9" s="33">
        <f>(G9-(H9))/100</f>
        <v>0.08350000000000002</v>
      </c>
      <c r="R9" s="17">
        <f>F9*(1-(0)/100)*(((1+Q9)^(E9/12)-1)/((1+Q9)^(1/12)-1))*(1+Q9)^(1/12)</f>
        <v>31340.25202313189</v>
      </c>
      <c r="S9" s="33">
        <f>(1+RATE(E9,-F9,0,R9,1))^12-1</f>
        <v>0.0835000000000079</v>
      </c>
      <c r="T9" s="34">
        <f>(G9/100-S9)*100</f>
        <v>0.699999999999211</v>
      </c>
      <c r="U9" s="33">
        <f>(G9-(I9))/100</f>
        <v>0.09050000000000001</v>
      </c>
      <c r="V9" s="17">
        <f>F9*(1-(0)/100)*(((1+U9)^(E9/12)-1)/((1+U9)^(1/12)-1))*(1+U9)^(1/12)</f>
        <v>31451.162108436343</v>
      </c>
      <c r="W9" s="33">
        <f>(1+RATE(E9,-F9,0,V9,1))^12-1</f>
        <v>0.0904999999999958</v>
      </c>
      <c r="X9" s="34">
        <f>(G9/100-W9)*100</f>
        <v>4.2049697057677804e-13</v>
      </c>
      <c r="Y9" s="33">
        <f>(G9-(J9))/100</f>
        <v>0.08700000000000001</v>
      </c>
      <c r="Z9" s="17">
        <f>F9*(1-(K9)/100)*(((1+Y9)^(E9/12)-1)/((1+Y9)^(1/12)-1))*(1+Y9)^(1/12)</f>
        <v>30854.15749576915</v>
      </c>
      <c r="AA9" s="33">
        <f>(1+RATE(E9,-F9,0,Z9,1))^12-1</f>
        <v>0.05298139645956401</v>
      </c>
      <c r="AB9" s="34">
        <f>(G9/100-AA9)*100</f>
        <v>3.7518603540436</v>
      </c>
      <c r="AC9" s="34">
        <f>T9+X9+AB9</f>
        <v>4.451860354043232</v>
      </c>
      <c r="AD9" s="24">
        <f>IF(AC9=0,0,ROUND(T9*P9/AC9+1E-9,2))</f>
        <v>0.7</v>
      </c>
      <c r="AE9" s="24">
        <f>IF(AC9=0,0,ROUND(X9*P9/AC9+1E-9,2))</f>
        <v>0</v>
      </c>
      <c r="AF9" s="24">
        <f>IF(AC9=0,0,ROUND(AB9*P9/AC9+1E-9,2))</f>
        <v>3.74</v>
      </c>
      <c r="AG9" s="24">
        <v>0</v>
      </c>
      <c r="AH9" s="35">
        <f>ROUND(AD9+AE9+AF9+AG9+1E-9,2)</f>
        <v>4.44</v>
      </c>
    </row>
    <row r="10" spans="1:34" x14ac:dyDescent="0.25">
      <c r="A10" s="13" t="s">
        <v>71</v>
      </c>
      <c r="B10" s="23">
        <v>2</v>
      </c>
      <c r="C10" s="18">
        <f>IF(ROUND(D10/12,0)&gt;10,CHOOSE(B10,1,5,10,ROUND(D10/12,0)),CHOOSE(B10,1,3,5,ROUND(D10/12,0)))</f>
        <v>5</v>
      </c>
      <c r="D10" s="23">
        <v>240</v>
      </c>
      <c r="E10" s="18">
        <f>C10*12</f>
        <v>60</v>
      </c>
      <c r="F10" s="17">
        <f>INDEX('Fee Switch-Off'!$F$5:$F$30,MATCH($A10,'Fee Switch-Off'!$A$5:$A$30,0))</f>
        <v>2500</v>
      </c>
      <c r="G10" s="32">
        <v>9.05</v>
      </c>
      <c r="H10" s="24">
        <f>IF(ISNUMBER(SEARCH("TFI",INDEX('Fee Switch-Off'!$C$5:$C$30,MATCH($A10,'Fee Switch-Off'!$A$5:$A$30,0)))),Assumptions!$B$8,Assumptions!$B$7)</f>
        <v>0.7</v>
      </c>
      <c r="I10" s="16">
        <f>INDEX('Quote Summary'!$E$5:$E$30,MATCH($A10,'Quote Summary'!$A$5:$A$30,0))</f>
        <v>0</v>
      </c>
      <c r="J10" s="24">
        <f>Assumptions!$B$9</f>
        <v>0.35</v>
      </c>
      <c r="K10" s="16">
        <f>Assumptions!$B$10</f>
        <v>1.725</v>
      </c>
      <c r="L10" s="24">
        <f>Assumptions!$B$11</f>
        <v>0</v>
      </c>
      <c r="M10" s="33">
        <f>(G10-(H10+J10+I10+L10))/100</f>
        <v>0.08000000000000002</v>
      </c>
      <c r="N10" s="17">
        <f>F10*(1-(K10)/100)*(((1+M10)^(E10/12)-1)/((1+M10)^(1/12)-1))*(1+M10)^(1/12)</f>
        <v>180368.9682795827</v>
      </c>
      <c r="O10" s="33">
        <f>(1+RATE(E10,-F10,0,N10,1))^12-1</f>
        <v>0.07304905105110837</v>
      </c>
      <c r="P10" s="34">
        <f>(G10/100-O10)*100</f>
        <v>1.745094894889164</v>
      </c>
      <c r="Q10" s="33">
        <f>(G10-(H10))/100</f>
        <v>0.08350000000000002</v>
      </c>
      <c r="R10" s="17">
        <f>F10*(1-(0)/100)*(((1+Q10)^(E10/12)-1)/((1+Q10)^(1/12)-1))*(1+Q10)^(1/12)</f>
        <v>185148.24358758252</v>
      </c>
      <c r="S10" s="33">
        <f>(1+RATE(E10,-F10,0,R10,1))^12-1</f>
        <v>0.08349999999999635</v>
      </c>
      <c r="T10" s="34">
        <f>(G10/100-S10)*100</f>
        <v>0.7000000000003657</v>
      </c>
      <c r="U10" s="33">
        <f>(G10-(I10))/100</f>
        <v>0.09050000000000001</v>
      </c>
      <c r="V10" s="17">
        <f>F10*(1-(0)/100)*(((1+U10)^(E10/12)-1)/((1+U10)^(1/12)-1))*(1+U10)^(1/12)</f>
        <v>188413.71158339918</v>
      </c>
      <c r="W10" s="33">
        <f>(1+RATE(E10,-F10,0,V10,1))^12-1</f>
        <v>0.0904999999999958</v>
      </c>
      <c r="X10" s="34">
        <f>(G10/100-W10)*100</f>
        <v>4.2049697057677804e-13</v>
      </c>
      <c r="Y10" s="33">
        <f>(G10-(J10))/100</f>
        <v>0.08700000000000001</v>
      </c>
      <c r="Z10" s="17">
        <f>F10*(1-(K10)/100)*(((1+Y10)^(E10/12)-1)/((1+Y10)^(1/12)-1))*(1+Y10)^(1/12)</f>
        <v>183552.61108469518</v>
      </c>
      <c r="AA10" s="33">
        <f>(1+RATE(E10,-F10,0,Z10,1))^12-1</f>
        <v>0.08003847547779963</v>
      </c>
      <c r="AB10" s="34">
        <f>(G10/100-AA10)*100</f>
        <v>1.046152452220038</v>
      </c>
      <c r="AC10" s="34">
        <f>T10+X10+AB10</f>
        <v>1.7461524522208243</v>
      </c>
      <c r="AD10" s="24">
        <f>IF(AC10=0,0,ROUND(T10*P10/AC10+1E-9,2))</f>
        <v>0.7</v>
      </c>
      <c r="AE10" s="24">
        <f>IF(AC10=0,0,ROUND(X10*P10/AC10+1E-9,2))</f>
        <v>0</v>
      </c>
      <c r="AF10" s="24">
        <f>IF(AC10=0,0,ROUND(AB10*P10/AC10+1E-9,2))</f>
        <v>1.05</v>
      </c>
      <c r="AG10" s="24">
        <v>0</v>
      </c>
      <c r="AH10" s="35">
        <f>ROUND(AD10+AE10+AF10+AG10+1E-9,2)</f>
        <v>1.75</v>
      </c>
    </row>
    <row r="11" spans="1:34" x14ac:dyDescent="0.25">
      <c r="A11" s="13" t="s">
        <v>71</v>
      </c>
      <c r="B11" s="23">
        <v>3</v>
      </c>
      <c r="C11" s="18">
        <f>IF(ROUND(D11/12,0)&gt;10,CHOOSE(B11,1,5,10,ROUND(D11/12,0)),CHOOSE(B11,1,3,5,ROUND(D11/12,0)))</f>
        <v>10</v>
      </c>
      <c r="D11" s="23">
        <v>240</v>
      </c>
      <c r="E11" s="18">
        <f>C11*12</f>
        <v>120</v>
      </c>
      <c r="F11" s="17">
        <f>INDEX('Fee Switch-Off'!$F$5:$F$30,MATCH($A11,'Fee Switch-Off'!$A$5:$A$30,0))</f>
        <v>2500</v>
      </c>
      <c r="G11" s="32">
        <v>9.05</v>
      </c>
      <c r="H11" s="24">
        <f>IF(ISNUMBER(SEARCH("TFI",INDEX('Fee Switch-Off'!$C$5:$C$30,MATCH($A11,'Fee Switch-Off'!$A$5:$A$30,0)))),Assumptions!$B$8,Assumptions!$B$7)</f>
        <v>0.7</v>
      </c>
      <c r="I11" s="16">
        <f>INDEX('Quote Summary'!$E$5:$E$30,MATCH($A11,'Quote Summary'!$A$5:$A$30,0))</f>
        <v>0</v>
      </c>
      <c r="J11" s="24">
        <f>Assumptions!$B$9</f>
        <v>0.35</v>
      </c>
      <c r="K11" s="16">
        <f>Assumptions!$B$10</f>
        <v>1.725</v>
      </c>
      <c r="L11" s="24">
        <f>Assumptions!$B$11</f>
        <v>0</v>
      </c>
      <c r="M11" s="33">
        <f>(G11-(H11+J11+I11+L11))/100</f>
        <v>0.08000000000000002</v>
      </c>
      <c r="N11" s="17">
        <f>F11*(1-(K11)/100)*(((1+M11)^(E11/12)-1)/((1+M11)^(1/12)-1))*(1+M11)^(1/12)</f>
        <v>445390.15755622165</v>
      </c>
      <c r="O11" s="33">
        <f>(1+RATE(E11,-F11,0,N11,1))^12-1</f>
        <v>0.07668736168072599</v>
      </c>
      <c r="P11" s="34">
        <f>(G11/100-O11)*100</f>
        <v>1.3812638319274027</v>
      </c>
      <c r="Q11" s="33">
        <f>(G11-(H11))/100</f>
        <v>0.08350000000000002</v>
      </c>
      <c r="R11" s="17">
        <f>F11*(1-(0)/100)*(((1+Q11)^(E11/12)-1)/((1+Q11)^(1/12)-1))*(1+Q11)^(1/12)</f>
        <v>461628.53257592046</v>
      </c>
      <c r="S11" s="33">
        <f>(1+RATE(E11,-F11,0,R11,1))^12-1</f>
        <v>0.08349999999999635</v>
      </c>
      <c r="T11" s="34">
        <f>(G11/100-S11)*100</f>
        <v>0.7000000000003657</v>
      </c>
      <c r="U11" s="33">
        <f>(G11-(I11))/100</f>
        <v>0.09050000000000001</v>
      </c>
      <c r="V11" s="17">
        <f>F11*(1-(0)/100)*(((1+U11)^(E11/12)-1)/((1+U11)^(1/12)-1))*(1+U11)^(1/12)</f>
        <v>478977.07526602596</v>
      </c>
      <c r="W11" s="33">
        <f>(1+RATE(E11,-F11,0,V11,1))^12-1</f>
        <v>0.0904999999999958</v>
      </c>
      <c r="X11" s="34">
        <f>(G11/100-W11)*100</f>
        <v>4.2049697057677804e-13</v>
      </c>
      <c r="Y11" s="33">
        <f>(G11-(J11))/100</f>
        <v>0.08700000000000001</v>
      </c>
      <c r="Z11" s="17">
        <f>F11*(1-(K11)/100)*(((1+Y11)^(E11/12)-1)/((1+Y11)^(1/12)-1))*(1+Y11)^(1/12)</f>
        <v>462105.8978655168</v>
      </c>
      <c r="AA11" s="33">
        <f>(1+RATE(E11,-F11,0,Z11,1))^12-1</f>
        <v>0.08369635995207325</v>
      </c>
      <c r="AB11" s="34">
        <f>(G11/100-AA11)*100</f>
        <v>0.680364004792676</v>
      </c>
      <c r="AC11" s="34">
        <f>T11+X11+AB11</f>
        <v>1.3803640047934622</v>
      </c>
      <c r="AD11" s="24">
        <f>IF(AC11=0,0,ROUND(T11*P11/AC11+1E-9,2))</f>
        <v>0.7</v>
      </c>
      <c r="AE11" s="24">
        <f>IF(AC11=0,0,ROUND(X11*P11/AC11+1E-9,2))</f>
        <v>0</v>
      </c>
      <c r="AF11" s="24">
        <f>IF(AC11=0,0,ROUND(AB11*P11/AC11+1E-9,2))</f>
        <v>0.68</v>
      </c>
      <c r="AG11" s="24">
        <v>0</v>
      </c>
      <c r="AH11" s="35">
        <f>ROUND(AD11+AE11+AF11+AG11+1E-9,2)</f>
        <v>1.38</v>
      </c>
    </row>
    <row r="12" spans="1:34" x14ac:dyDescent="0.25">
      <c r="A12" s="13" t="s">
        <v>71</v>
      </c>
      <c r="B12" s="23">
        <v>4</v>
      </c>
      <c r="C12" s="18">
        <f>IF(ROUND(D12/12,0)&gt;10,CHOOSE(B12,1,5,10,ROUND(D12/12,0)),CHOOSE(B12,1,3,5,ROUND(D12/12,0)))</f>
        <v>20</v>
      </c>
      <c r="D12" s="23">
        <v>240</v>
      </c>
      <c r="E12" s="18">
        <f>C12*12</f>
        <v>240</v>
      </c>
      <c r="F12" s="17">
        <f>INDEX('Fee Switch-Off'!$F$5:$F$30,MATCH($A12,'Fee Switch-Off'!$A$5:$A$30,0))</f>
        <v>2500</v>
      </c>
      <c r="G12" s="32">
        <v>9.05</v>
      </c>
      <c r="H12" s="24">
        <f>IF(ISNUMBER(SEARCH("TFI",INDEX('Fee Switch-Off'!$C$5:$C$30,MATCH($A12,'Fee Switch-Off'!$A$5:$A$30,0)))),Assumptions!$B$8,Assumptions!$B$7)</f>
        <v>0.7</v>
      </c>
      <c r="I12" s="16">
        <f>INDEX('Quote Summary'!$E$5:$E$30,MATCH($A12,'Quote Summary'!$A$5:$A$30,0))</f>
        <v>0</v>
      </c>
      <c r="J12" s="24">
        <f>Assumptions!$B$9</f>
        <v>0.35</v>
      </c>
      <c r="K12" s="16">
        <f>Assumptions!$B$10</f>
        <v>1.725</v>
      </c>
      <c r="L12" s="24">
        <f>Assumptions!$B$11</f>
        <v>0</v>
      </c>
      <c r="M12" s="33">
        <f>(G12-(H12+J12+I12+L12))/100</f>
        <v>0.08000000000000002</v>
      </c>
      <c r="N12" s="17">
        <f>F12*(1-(K12)/100)*(((1+M12)^(E12/12)-1)/((1+M12)^(1/12)-1))*(1+M12)^(1/12)</f>
        <v>1406954.102243611</v>
      </c>
      <c r="O12" s="33">
        <f>(1+RATE(E12,-F12,0,N12,1))^12-1</f>
        <v>0.07849648191602254</v>
      </c>
      <c r="P12" s="34">
        <f>(G12/100-O12)*100</f>
        <v>1.200351808397747</v>
      </c>
      <c r="Q12" s="33">
        <f>(G12-(H12))/100</f>
        <v>0.08350000000000002</v>
      </c>
      <c r="R12" s="17">
        <f>F12*(1-(0)/100)*(((1+Q12)^(E12/12)-1)/((1+Q12)^(1/12)-1))*(1+Q12)^(1/12)</f>
        <v>1491022.9309537767</v>
      </c>
      <c r="S12" s="33">
        <f>(1+RATE(E12,-F12,0,R12,1))^12-1</f>
        <v>0.08349999999999635</v>
      </c>
      <c r="T12" s="34">
        <f>(G12/100-S12)*100</f>
        <v>0.7000000000003657</v>
      </c>
      <c r="U12" s="33">
        <f>(G12-(I12))/100</f>
        <v>0.09050000000000001</v>
      </c>
      <c r="V12" s="17">
        <f>F12*(1-(0)/100)*(((1+U12)^(E12/12)-1)/((1+U12)^(1/12)-1))*(1+U12)^(1/12)</f>
        <v>1618102.189719492</v>
      </c>
      <c r="W12" s="33">
        <f>(1+RATE(E12,-F12,0,V12,1))^12-1</f>
        <v>0.0904999999999958</v>
      </c>
      <c r="X12" s="34">
        <f>(G12/100-W12)*100</f>
        <v>4.2049697057677804e-13</v>
      </c>
      <c r="Y12" s="33">
        <f>(G12-(J12))/100</f>
        <v>0.08700000000000001</v>
      </c>
      <c r="Z12" s="17">
        <f>F12*(1-(K12)/100)*(((1+Y12)^(E12/12)-1)/((1+Y12)^(1/12)-1))*(1+Y12)^(1/12)</f>
        <v>1526339.4634791974</v>
      </c>
      <c r="AA12" s="33">
        <f>(1+RATE(E12,-F12,0,Z12,1))^12-1</f>
        <v>0.08550950574718996</v>
      </c>
      <c r="AB12" s="34">
        <f>(G12/100-AA12)*100</f>
        <v>0.4990494252810049</v>
      </c>
      <c r="AC12" s="34">
        <f>T12+X12+AB12</f>
        <v>1.1990494252817911</v>
      </c>
      <c r="AD12" s="24">
        <f>IF(AC12=0,0,ROUND(T12*P12/AC12+1E-9,2))</f>
        <v>0.7</v>
      </c>
      <c r="AE12" s="24">
        <f>IF(AC12=0,0,ROUND(X12*P12/AC12+1E-9,2))</f>
        <v>0</v>
      </c>
      <c r="AF12" s="24">
        <f>IF(AC12=0,0,ROUND(AB12*P12/AC12+1E-9,2))</f>
        <v>0.5</v>
      </c>
      <c r="AG12" s="24">
        <v>0</v>
      </c>
      <c r="AH12" s="35">
        <f>ROUND(AD12+AE12+AF12+AG12+1E-9,2)</f>
        <v>1.2</v>
      </c>
    </row>
    <row r="13" spans="1:34" x14ac:dyDescent="0.25">
      <c r="A13" s="13" t="s">
        <v>74</v>
      </c>
      <c r="B13" s="23">
        <v>1</v>
      </c>
      <c r="C13" s="18">
        <f>IF(ROUND(D13/12,0)&gt;10,CHOOSE(B13,1,5,10,ROUND(D13/12,0)),CHOOSE(B13,1,3,5,ROUND(D13/12,0)))</f>
        <v>1</v>
      </c>
      <c r="D13" s="23">
        <v>180</v>
      </c>
      <c r="E13" s="18">
        <f>C13*12</f>
        <v>12</v>
      </c>
      <c r="F13" s="17">
        <f>INDEX('Fee Switch-Off'!$F$5:$F$30,MATCH($A13,'Fee Switch-Off'!$A$5:$A$30,0))</f>
        <v>1200</v>
      </c>
      <c r="G13" s="32">
        <v>9.5</v>
      </c>
      <c r="H13" s="24">
        <f>IF(ISNUMBER(SEARCH("TFI",INDEX('Fee Switch-Off'!$C$5:$C$30,MATCH($A13,'Fee Switch-Off'!$A$5:$A$30,0)))),Assumptions!$B$8,Assumptions!$B$7)</f>
        <v>0.85</v>
      </c>
      <c r="I13" s="16">
        <f>INDEX('Quote Summary'!$E$5:$E$30,MATCH($A13,'Quote Summary'!$A$5:$A$30,0))</f>
        <v>0</v>
      </c>
      <c r="J13" s="24">
        <f>Assumptions!$B$9</f>
        <v>0.35</v>
      </c>
      <c r="K13" s="16">
        <f>Assumptions!$B$10</f>
        <v>1.725</v>
      </c>
      <c r="L13" s="24">
        <f>Assumptions!$B$11</f>
        <v>0</v>
      </c>
      <c r="M13" s="33">
        <f>(G13-(H13+J13+I13+L13))/100</f>
        <v>0.083</v>
      </c>
      <c r="N13" s="17">
        <f>F13*(1-(K13)/100)*(((1+M13)^(E13/12)-1)/((1+M13)^(1/12)-1))*(1+M13)^(1/12)</f>
        <v>14780.082765335523</v>
      </c>
      <c r="O13" s="33">
        <f>(1+RATE(E13,-F13,0,N13,1))^12-1</f>
        <v>0.04908793265047051</v>
      </c>
      <c r="P13" s="34">
        <f>(G13/100-O13)*100</f>
        <v>4.591206734952949</v>
      </c>
      <c r="Q13" s="33">
        <f>(G13-(H13))/100</f>
        <v>0.0865</v>
      </c>
      <c r="R13" s="17">
        <f>F13*(1-(0)/100)*(((1+Q13)^(E13/12)-1)/((1+Q13)^(1/12)-1))*(1+Q13)^(1/12)</f>
        <v>15066.149383186243</v>
      </c>
      <c r="S13" s="33">
        <f>(1+RATE(E13,-F13,0,R13,1))^12-1</f>
        <v>0.08649999999999047</v>
      </c>
      <c r="T13" s="34">
        <f>(G13/100-S13)*100</f>
        <v>0.8500000000009528</v>
      </c>
      <c r="U13" s="33">
        <f>(G13-(I13))/100</f>
        <v>0.095</v>
      </c>
      <c r="V13" s="17">
        <f>F13*(1-(0)/100)*(((1+U13)^(E13/12)-1)/((1+U13)^(1/12)-1))*(1+U13)^(1/12)</f>
        <v>15130.727269666408</v>
      </c>
      <c r="W13" s="33">
        <f>(1+RATE(E13,-F13,0,V13,1))^12-1</f>
        <v>0.09499999999999909</v>
      </c>
      <c r="X13" s="34">
        <f>(G13/100-W13)*100</f>
        <v>9.159339953157541e-14</v>
      </c>
      <c r="Y13" s="33">
        <f>(G13-(J13))/100</f>
        <v>0.0915</v>
      </c>
      <c r="Z13" s="17">
        <f>F13*(1-(K13)/100)*(((1+Y13)^(E13/12)-1)/((1+Y13)^(1/12)-1))*(1+Y13)^(1/12)</f>
        <v>14843.608010680078</v>
      </c>
      <c r="AA13" s="33">
        <f>(1+RATE(E13,-F13,0,Z13,1))^12-1</f>
        <v>0.05736160024231984</v>
      </c>
      <c r="AB13" s="34">
        <f>(G13/100-AA13)*100</f>
        <v>3.7638399757680157</v>
      </c>
      <c r="AC13" s="34">
        <f>T13+X13+AB13</f>
        <v>4.61383997576906</v>
      </c>
      <c r="AD13" s="24">
        <f>IF(AC13=0,0,ROUND(T13*P13/AC13+1E-9,2))</f>
        <v>0.85</v>
      </c>
      <c r="AE13" s="24">
        <f>IF(AC13=0,0,ROUND(X13*P13/AC13+1E-9,2))</f>
        <v>0</v>
      </c>
      <c r="AF13" s="24">
        <f>IF(AC13=0,0,ROUND(AB13*P13/AC13+1E-9,2))</f>
        <v>3.75</v>
      </c>
      <c r="AG13" s="24">
        <v>0</v>
      </c>
      <c r="AH13" s="35">
        <f>ROUND(AD13+AE13+AF13+AG13+1E-9,2)</f>
        <v>4.6</v>
      </c>
    </row>
    <row r="14" spans="1:34" x14ac:dyDescent="0.25">
      <c r="A14" s="13" t="s">
        <v>74</v>
      </c>
      <c r="B14" s="23">
        <v>2</v>
      </c>
      <c r="C14" s="18">
        <f>IF(ROUND(D14/12,0)&gt;10,CHOOSE(B14,1,5,10,ROUND(D14/12,0)),CHOOSE(B14,1,3,5,ROUND(D14/12,0)))</f>
        <v>5</v>
      </c>
      <c r="D14" s="23">
        <v>180</v>
      </c>
      <c r="E14" s="18">
        <f>C14*12</f>
        <v>60</v>
      </c>
      <c r="F14" s="17">
        <f>INDEX('Fee Switch-Off'!$F$5:$F$30,MATCH($A14,'Fee Switch-Off'!$A$5:$A$30,0))</f>
        <v>1200</v>
      </c>
      <c r="G14" s="32">
        <v>9.5</v>
      </c>
      <c r="H14" s="24">
        <f>IF(ISNUMBER(SEARCH("TFI",INDEX('Fee Switch-Off'!$C$5:$C$30,MATCH($A14,'Fee Switch-Off'!$A$5:$A$30,0)))),Assumptions!$B$8,Assumptions!$B$7)</f>
        <v>0.85</v>
      </c>
      <c r="I14" s="16">
        <f>INDEX('Quote Summary'!$E$5:$E$30,MATCH($A14,'Quote Summary'!$A$5:$A$30,0))</f>
        <v>0</v>
      </c>
      <c r="J14" s="24">
        <f>Assumptions!$B$9</f>
        <v>0.35</v>
      </c>
      <c r="K14" s="16">
        <f>Assumptions!$B$10</f>
        <v>1.725</v>
      </c>
      <c r="L14" s="24">
        <f>Assumptions!$B$11</f>
        <v>0</v>
      </c>
      <c r="M14" s="33">
        <f>(G14-(H14+J14+I14+L14))/100</f>
        <v>0.083</v>
      </c>
      <c r="N14" s="17">
        <f>F14*(1-(K14)/100)*(((1+M14)^(E14/12)-1)/((1+M14)^(1/12)-1))*(1+M14)^(1/12)</f>
        <v>87229.03915744284</v>
      </c>
      <c r="O14" s="33">
        <f>(1+RATE(E14,-F14,0,N14,1))^12-1</f>
        <v>0.07604453839630732</v>
      </c>
      <c r="P14" s="34">
        <f>(G14/100-O14)*100</f>
        <v>1.8955461603692685</v>
      </c>
      <c r="Q14" s="33">
        <f>(G14-(H14))/100</f>
        <v>0.0865</v>
      </c>
      <c r="R14" s="17">
        <f>F14*(1-(0)/100)*(((1+Q14)^(E14/12)-1)/((1+Q14)^(1/12)-1))*(1+Q14)^(1/12)</f>
        <v>89539.85172001403</v>
      </c>
      <c r="S14" s="33">
        <f>(1+RATE(E14,-F14,0,R14,1))^12-1</f>
        <v>0.08650000000000202</v>
      </c>
      <c r="T14" s="34">
        <f>(G14/100-S14)*100</f>
        <v>0.8499999999997981</v>
      </c>
      <c r="U14" s="33">
        <f>(G14-(I14))/100</f>
        <v>0.095</v>
      </c>
      <c r="V14" s="17">
        <f>F14*(1-(0)/100)*(((1+U14)^(E14/12)-1)/((1+U14)^(1/12)-1))*(1+U14)^(1/12)</f>
        <v>91459.47133425923</v>
      </c>
      <c r="W14" s="33">
        <f>(1+RATE(E14,-F14,0,V14,1))^12-1</f>
        <v>0.09499999999999909</v>
      </c>
      <c r="X14" s="34">
        <f>(G14/100-W14)*100</f>
        <v>9.159339953157541e-14</v>
      </c>
      <c r="Y14" s="33">
        <f>(G14-(J14))/100</f>
        <v>0.0915</v>
      </c>
      <c r="Z14" s="17">
        <f>F14*(1-(K14)/100)*(((1+Y14)^(E14/12)-1)/((1+Y14)^(1/12)-1))*(1+Y14)^(1/12)</f>
        <v>89100.58134787252</v>
      </c>
      <c r="AA14" s="33">
        <f>(1+RATE(E14,-F14,0,Z14,1))^12-1</f>
        <v>0.08453159209247052</v>
      </c>
      <c r="AB14" s="34">
        <f>(G14/100-AA14)*100</f>
        <v>1.046840790752948</v>
      </c>
      <c r="AC14" s="34">
        <f>T14+X14+AB14</f>
        <v>1.8968407907528377</v>
      </c>
      <c r="AD14" s="24">
        <f>IF(AC14=0,0,ROUND(T14*P14/AC14+1E-9,2))</f>
        <v>0.85</v>
      </c>
      <c r="AE14" s="24">
        <f>IF(AC14=0,0,ROUND(X14*P14/AC14+1E-9,2))</f>
        <v>0</v>
      </c>
      <c r="AF14" s="24">
        <f>IF(AC14=0,0,ROUND(AB14*P14/AC14+1E-9,2))</f>
        <v>1.05</v>
      </c>
      <c r="AG14" s="24">
        <v>0</v>
      </c>
      <c r="AH14" s="35">
        <f>ROUND(AD14+AE14+AF14+AG14+1E-9,2)</f>
        <v>1.9</v>
      </c>
    </row>
    <row r="15" spans="1:34" x14ac:dyDescent="0.25">
      <c r="A15" s="13" t="s">
        <v>74</v>
      </c>
      <c r="B15" s="23">
        <v>3</v>
      </c>
      <c r="C15" s="18">
        <f>IF(ROUND(D15/12,0)&gt;10,CHOOSE(B15,1,5,10,ROUND(D15/12,0)),CHOOSE(B15,1,3,5,ROUND(D15/12,0)))</f>
        <v>10</v>
      </c>
      <c r="D15" s="23">
        <v>180</v>
      </c>
      <c r="E15" s="18">
        <f>C15*12</f>
        <v>120</v>
      </c>
      <c r="F15" s="17">
        <f>INDEX('Fee Switch-Off'!$F$5:$F$30,MATCH($A15,'Fee Switch-Off'!$A$5:$A$30,0))</f>
        <v>1200</v>
      </c>
      <c r="G15" s="32">
        <v>9.5</v>
      </c>
      <c r="H15" s="24">
        <f>IF(ISNUMBER(SEARCH("TFI",INDEX('Fee Switch-Off'!$C$5:$C$30,MATCH($A15,'Fee Switch-Off'!$A$5:$A$30,0)))),Assumptions!$B$8,Assumptions!$B$7)</f>
        <v>0.85</v>
      </c>
      <c r="I15" s="16">
        <f>INDEX('Quote Summary'!$E$5:$E$30,MATCH($A15,'Quote Summary'!$A$5:$A$30,0))</f>
        <v>0</v>
      </c>
      <c r="J15" s="24">
        <f>Assumptions!$B$9</f>
        <v>0.35</v>
      </c>
      <c r="K15" s="16">
        <f>Assumptions!$B$10</f>
        <v>1.725</v>
      </c>
      <c r="L15" s="24">
        <f>Assumptions!$B$11</f>
        <v>0</v>
      </c>
      <c r="M15" s="33">
        <f>(G15-(H15+J15+I15+L15))/100</f>
        <v>0.083</v>
      </c>
      <c r="N15" s="17">
        <f>F15*(1-(K15)/100)*(((1+M15)^(E15/12)-1)/((1+M15)^(1/12)-1))*(1+M15)^(1/12)</f>
        <v>217187.14469634244</v>
      </c>
      <c r="O15" s="33">
        <f>(1+RATE(E15,-F15,0,N15,1))^12-1</f>
        <v>0.07969128116254032</v>
      </c>
      <c r="P15" s="34">
        <f>(G15/100-O15)*100</f>
        <v>1.5308718837459683</v>
      </c>
      <c r="Q15" s="33">
        <f>(G15-(H15))/100</f>
        <v>0.0865</v>
      </c>
      <c r="R15" s="17">
        <f>F15*(1-(0)/100)*(((1+Q15)^(E15/12)-1)/((1+Q15)^(1/12)-1))*(1+Q15)^(1/12)</f>
        <v>225110.297511834</v>
      </c>
      <c r="S15" s="33">
        <f>(1+RATE(E15,-F15,0,R15,1))^12-1</f>
        <v>0.08649999999999625</v>
      </c>
      <c r="T15" s="34">
        <f>(G15/100-S15)*100</f>
        <v>0.8500000000003755</v>
      </c>
      <c r="U15" s="33">
        <f>(G15-(I15))/100</f>
        <v>0.095</v>
      </c>
      <c r="V15" s="17">
        <f>F15*(1-(0)/100)*(((1+U15)^(E15/12)-1)/((1+U15)^(1/12)-1))*(1+U15)^(1/12)</f>
        <v>235438.5143340264</v>
      </c>
      <c r="W15" s="33">
        <f>(1+RATE(E15,-F15,0,V15,1))^12-1</f>
        <v>0.09499999999999909</v>
      </c>
      <c r="X15" s="34">
        <f>(G15/100-W15)*100</f>
        <v>9.159339953157541e-14</v>
      </c>
      <c r="Y15" s="33">
        <f>(G15-(J15))/100</f>
        <v>0.0915</v>
      </c>
      <c r="Z15" s="17">
        <f>F15*(1-(K15)/100)*(((1+Y15)^(E15/12)-1)/((1+Y15)^(1/12)-1))*(1+Y15)^(1/12)</f>
        <v>227138.76557233202</v>
      </c>
      <c r="AA15" s="33">
        <f>(1+RATE(E15,-F15,0,Z15,1))^12-1</f>
        <v>0.0882018749339688</v>
      </c>
      <c r="AB15" s="34">
        <f>(G15/100-AA15)*100</f>
        <v>0.6798125066031196</v>
      </c>
      <c r="AC15" s="34">
        <f>T15+X15+AB15</f>
        <v>1.5298125066035868</v>
      </c>
      <c r="AD15" s="24">
        <f>IF(AC15=0,0,ROUND(T15*P15/AC15+1E-9,2))</f>
        <v>0.85</v>
      </c>
      <c r="AE15" s="24">
        <f>IF(AC15=0,0,ROUND(X15*P15/AC15+1E-9,2))</f>
        <v>0</v>
      </c>
      <c r="AF15" s="24">
        <f>IF(AC15=0,0,ROUND(AB15*P15/AC15+1E-9,2))</f>
        <v>0.68</v>
      </c>
      <c r="AG15" s="24">
        <v>0</v>
      </c>
      <c r="AH15" s="35">
        <f>ROUND(AD15+AE15+AF15+AG15+1E-9,2)</f>
        <v>1.53</v>
      </c>
    </row>
    <row r="16" spans="1:34" x14ac:dyDescent="0.25">
      <c r="A16" s="13" t="s">
        <v>74</v>
      </c>
      <c r="B16" s="23">
        <v>4</v>
      </c>
      <c r="C16" s="18">
        <f>IF(ROUND(D16/12,0)&gt;10,CHOOSE(B16,1,5,10,ROUND(D16/12,0)),CHOOSE(B16,1,3,5,ROUND(D16/12,0)))</f>
        <v>15</v>
      </c>
      <c r="D16" s="23">
        <v>180</v>
      </c>
      <c r="E16" s="18">
        <f>C16*12</f>
        <v>180</v>
      </c>
      <c r="F16" s="17">
        <f>INDEX('Fee Switch-Off'!$F$5:$F$30,MATCH($A16,'Fee Switch-Off'!$A$5:$A$30,0))</f>
        <v>1200</v>
      </c>
      <c r="G16" s="32">
        <v>9.5</v>
      </c>
      <c r="H16" s="24">
        <f>IF(ISNUMBER(SEARCH("TFI",INDEX('Fee Switch-Off'!$C$5:$C$30,MATCH($A16,'Fee Switch-Off'!$A$5:$A$30,0)))),Assumptions!$B$8,Assumptions!$B$7)</f>
        <v>0.85</v>
      </c>
      <c r="I16" s="16">
        <f>INDEX('Quote Summary'!$E$5:$E$30,MATCH($A16,'Quote Summary'!$A$5:$A$30,0))</f>
        <v>0</v>
      </c>
      <c r="J16" s="24">
        <f>Assumptions!$B$9</f>
        <v>0.35</v>
      </c>
      <c r="K16" s="16">
        <f>Assumptions!$B$10</f>
        <v>1.725</v>
      </c>
      <c r="L16" s="24">
        <f>Assumptions!$B$11</f>
        <v>0</v>
      </c>
      <c r="M16" s="33">
        <f>(G16-(H16+J16+I16+L16))/100</f>
        <v>0.083</v>
      </c>
      <c r="N16" s="17">
        <f>F16*(1-(K16)/100)*(((1+M16)^(E16/12)-1)/((1+M16)^(1/12)-1))*(1+M16)^(1/12)</f>
        <v>410805.1113550833</v>
      </c>
      <c r="O16" s="33">
        <f>(1+RATE(E16,-F16,0,N16,1))^12-1</f>
        <v>0.08090472673641536</v>
      </c>
      <c r="P16" s="34">
        <f>(G16/100-O16)*100</f>
        <v>1.4095273263584644</v>
      </c>
      <c r="Q16" s="33">
        <f>(G16-(H16))/100</f>
        <v>0.0865</v>
      </c>
      <c r="R16" s="17">
        <f>F16*(1-(0)/100)*(((1+Q16)^(E16/12)-1)/((1+Q16)^(1/12)-1))*(1+Q16)^(1/12)</f>
        <v>430374.7179808778</v>
      </c>
      <c r="S16" s="33">
        <f>(1+RATE(E16,-F16,0,R16,1))^12-1</f>
        <v>0.08650000000000202</v>
      </c>
      <c r="T16" s="34">
        <f>(G16/100-S16)*100</f>
        <v>0.8499999999997981</v>
      </c>
      <c r="U16" s="33">
        <f>(G16-(I16))/100</f>
        <v>0.095</v>
      </c>
      <c r="V16" s="17">
        <f>F16*(1-(0)/100)*(((1+U16)^(E16/12)-1)/((1+U16)^(1/12)-1))*(1+U16)^(1/12)</f>
        <v>462095.90170691506</v>
      </c>
      <c r="W16" s="33">
        <f>(1+RATE(E16,-F16,0,V16,1))^12-1</f>
        <v>0.09499999999999909</v>
      </c>
      <c r="X16" s="34">
        <f>(G16/100-W16)*100</f>
        <v>9.159339953157541e-14</v>
      </c>
      <c r="Y16" s="33">
        <f>(G16-(J16))/100</f>
        <v>0.0915</v>
      </c>
      <c r="Z16" s="17">
        <f>F16*(1-(K16)/100)*(((1+Y16)^(E16/12)-1)/((1+Y16)^(1/12)-1))*(1+Y16)^(1/12)</f>
        <v>440993.0414450315</v>
      </c>
      <c r="AA16" s="33">
        <f>(1+RATE(E16,-F16,0,Z16,1))^12-1</f>
        <v>0.0894197850408982</v>
      </c>
      <c r="AB16" s="34">
        <f>(G16/100-AA16)*100</f>
        <v>0.5580214959101798</v>
      </c>
      <c r="AC16" s="34">
        <f>T16+X16+AB16</f>
        <v>1.4080214959100696</v>
      </c>
      <c r="AD16" s="24">
        <f>IF(AC16=0,0,ROUND(T16*P16/AC16+1E-9,2))</f>
        <v>0.85</v>
      </c>
      <c r="AE16" s="24">
        <f>IF(AC16=0,0,ROUND(X16*P16/AC16+1E-9,2))</f>
        <v>0</v>
      </c>
      <c r="AF16" s="24">
        <f>IF(AC16=0,0,ROUND(AB16*P16/AC16+1E-9,2))</f>
        <v>0.56</v>
      </c>
      <c r="AG16" s="24">
        <v>0</v>
      </c>
      <c r="AH16" s="35">
        <f>ROUND(AD16+AE16+AF16+AG16+1E-9,2)</f>
        <v>1.41</v>
      </c>
    </row>
    <row r="17" spans="1:34" x14ac:dyDescent="0.25">
      <c r="A17" s="13" t="s">
        <v>76</v>
      </c>
      <c r="B17" s="23">
        <v>1</v>
      </c>
      <c r="C17" s="18">
        <f>IF(ROUND(D17/12,0)&gt;10,CHOOSE(B17,1,5,10,ROUND(D17/12,0)),CHOOSE(B17,1,3,5,ROUND(D17/12,0)))</f>
        <v>1</v>
      </c>
      <c r="D17" s="23">
        <v>240</v>
      </c>
      <c r="E17" s="18">
        <f>C17*12</f>
        <v>12</v>
      </c>
      <c r="F17" s="17">
        <f>INDEX('Fee Switch-Off'!$F$5:$F$30,MATCH($A17,'Fee Switch-Off'!$A$5:$A$30,0))</f>
        <v>3000</v>
      </c>
      <c r="G17" s="32">
        <v>9.95</v>
      </c>
      <c r="H17" s="24">
        <f>IF(ISNUMBER(SEARCH("TFI",INDEX('Fee Switch-Off'!$C$5:$C$30,MATCH($A17,'Fee Switch-Off'!$A$5:$A$30,0)))),Assumptions!$B$8,Assumptions!$B$7)</f>
        <v>0.7</v>
      </c>
      <c r="I17" s="16">
        <f>INDEX('Quote Summary'!$E$5:$E$30,MATCH($A17,'Quote Summary'!$A$5:$A$30,0))</f>
        <v>0</v>
      </c>
      <c r="J17" s="24">
        <f>Assumptions!$B$9</f>
        <v>0.35</v>
      </c>
      <c r="K17" s="16">
        <f>Assumptions!$B$10</f>
        <v>1.725</v>
      </c>
      <c r="L17" s="24">
        <f>Assumptions!$B$11</f>
        <v>0</v>
      </c>
      <c r="M17" s="33">
        <f>(G17-(H17+J17+I17+L17))/100</f>
        <v>0.089</v>
      </c>
      <c r="N17" s="17">
        <f>F17*(1-(K17)/100)*(((1+M17)^(E17/12)-1)/((1+M17)^(1/12)-1))*(1+M17)^(1/12)</f>
        <v>37062.349000989976</v>
      </c>
      <c r="O17" s="33">
        <f>(1+RATE(E17,-F17,0,N17,1))^12-1</f>
        <v>0.05492814626464271</v>
      </c>
      <c r="P17" s="34">
        <f>(G17/100-O17)*100</f>
        <v>4.4571853735357285</v>
      </c>
      <c r="Q17" s="33">
        <f>(G17-(H17))/100</f>
        <v>0.0925</v>
      </c>
      <c r="R17" s="17">
        <f>F17*(1-(0)/100)*(((1+Q17)^(E17/12)-1)/((1+Q17)^(1/12)-1))*(1+Q17)^(1/12)</f>
        <v>37779.373638321325</v>
      </c>
      <c r="S17" s="33">
        <f>(1+RATE(E17,-F17,0,R17,1))^12-1</f>
        <v>0.09250000000000314</v>
      </c>
      <c r="T17" s="34">
        <f>(G17/100-S17)*100</f>
        <v>0.6999999999996855</v>
      </c>
      <c r="U17" s="33">
        <f>(G17-(I17))/100</f>
        <v>0.09949999999999999</v>
      </c>
      <c r="V17" s="17">
        <f>F17*(1-(0)/100)*(((1+U17)^(E17/12)-1)/((1+U17)^(1/12)-1))*(1+U17)^(1/12)</f>
        <v>37912.13649650018</v>
      </c>
      <c r="W17" s="33">
        <f>(1+RATE(E17,-F17,0,V17,1))^12-1</f>
        <v>0.0994999999999977</v>
      </c>
      <c r="X17" s="34">
        <f>(G17/100-W17)*100</f>
        <v>2.2898349882893854e-13</v>
      </c>
      <c r="Y17" s="33">
        <f>(G17-(J17))/100</f>
        <v>0.09599999999999999</v>
      </c>
      <c r="Z17" s="17">
        <f>F17*(1-(K17)/100)*(((1+Y17)^(E17/12)-1)/((1+Y17)^(1/12)-1))*(1+Y17)^(1/12)</f>
        <v>37192.94705676137</v>
      </c>
      <c r="AA17" s="33">
        <f>(1+RATE(E17,-F17,0,Z17,1))^12-1</f>
        <v>0.06174186404405946</v>
      </c>
      <c r="AB17" s="34">
        <f>(G17/100-AA17)*100</f>
        <v>3.7758135955940535</v>
      </c>
      <c r="AC17" s="34">
        <f>T17+X17+AB17</f>
        <v>4.4758135955939675</v>
      </c>
      <c r="AD17" s="24">
        <f>IF(AC17=0,0,ROUND(T17*P17/AC17+1E-9,2))</f>
        <v>0.7</v>
      </c>
      <c r="AE17" s="24">
        <f>IF(AC17=0,0,ROUND(X17*P17/AC17+1E-9,2))</f>
        <v>0</v>
      </c>
      <c r="AF17" s="24">
        <f>IF(AC17=0,0,ROUND(AB17*P17/AC17+1E-9,2))</f>
        <v>3.76</v>
      </c>
      <c r="AG17" s="24">
        <v>0</v>
      </c>
      <c r="AH17" s="35">
        <f>ROUND(AD17+AE17+AF17+AG17+1E-9,2)</f>
        <v>4.46</v>
      </c>
    </row>
    <row r="18" spans="1:34" x14ac:dyDescent="0.25">
      <c r="A18" s="13" t="s">
        <v>76</v>
      </c>
      <c r="B18" s="23">
        <v>2</v>
      </c>
      <c r="C18" s="18">
        <f>IF(ROUND(D18/12,0)&gt;10,CHOOSE(B18,1,5,10,ROUND(D18/12,0)),CHOOSE(B18,1,3,5,ROUND(D18/12,0)))</f>
        <v>5</v>
      </c>
      <c r="D18" s="23">
        <v>240</v>
      </c>
      <c r="E18" s="18">
        <f>C18*12</f>
        <v>60</v>
      </c>
      <c r="F18" s="17">
        <f>INDEX('Fee Switch-Off'!$F$5:$F$30,MATCH($A18,'Fee Switch-Off'!$A$5:$A$30,0))</f>
        <v>3000</v>
      </c>
      <c r="G18" s="32">
        <v>9.95</v>
      </c>
      <c r="H18" s="24">
        <f>IF(ISNUMBER(SEARCH("TFI",INDEX('Fee Switch-Off'!$C$5:$C$30,MATCH($A18,'Fee Switch-Off'!$A$5:$A$30,0)))),Assumptions!$B$8,Assumptions!$B$7)</f>
        <v>0.7</v>
      </c>
      <c r="I18" s="16">
        <f>INDEX('Quote Summary'!$E$5:$E$30,MATCH($A18,'Quote Summary'!$A$5:$A$30,0))</f>
        <v>0</v>
      </c>
      <c r="J18" s="24">
        <f>Assumptions!$B$9</f>
        <v>0.35</v>
      </c>
      <c r="K18" s="16">
        <f>Assumptions!$B$10</f>
        <v>1.725</v>
      </c>
      <c r="L18" s="24">
        <f>Assumptions!$B$11</f>
        <v>0</v>
      </c>
      <c r="M18" s="33">
        <f>(G18-(H18+J18+I18+L18))/100</f>
        <v>0.089</v>
      </c>
      <c r="N18" s="17">
        <f>F18*(1-(K18)/100)*(((1+M18)^(E18/12)-1)/((1+M18)^(1/12)-1))*(1+M18)^(1/12)</f>
        <v>221365.9086905968</v>
      </c>
      <c r="O18" s="33">
        <f>(1+RATE(E18,-F18,0,N18,1))^12-1</f>
        <v>0.08203542435820355</v>
      </c>
      <c r="P18" s="34">
        <f>(G18/100-O18)*100</f>
        <v>1.7464575641796445</v>
      </c>
      <c r="Q18" s="33">
        <f>(G18-(H18))/100</f>
        <v>0.0925</v>
      </c>
      <c r="R18" s="17">
        <f>F18*(1-(0)/100)*(((1+Q18)^(E18/12)-1)/((1+Q18)^(1/12)-1))*(1+Q18)^(1/12)</f>
        <v>227227.55528642357</v>
      </c>
      <c r="S18" s="33">
        <f>(1+RATE(E18,-F18,0,R18,1))^12-1</f>
        <v>0.09250000000000314</v>
      </c>
      <c r="T18" s="34">
        <f>(G18/100-S18)*100</f>
        <v>0.6999999999996855</v>
      </c>
      <c r="U18" s="33">
        <f>(G18-(I18))/100</f>
        <v>0.09949999999999999</v>
      </c>
      <c r="V18" s="17">
        <f>F18*(1-(0)/100)*(((1+U18)^(E18/12)-1)/((1+U18)^(1/12)-1))*(1+U18)^(1/12)</f>
        <v>231227.1020117807</v>
      </c>
      <c r="W18" s="33">
        <f>(1+RATE(E18,-F18,0,V18,1))^12-1</f>
        <v>0.0994999999999977</v>
      </c>
      <c r="X18" s="34">
        <f>(G18/100-W18)*100</f>
        <v>2.2898349882893854e-13</v>
      </c>
      <c r="Y18" s="33">
        <f>(G18-(J18))/100</f>
        <v>0.09599999999999999</v>
      </c>
      <c r="Z18" s="17">
        <f>F18*(1-(K18)/100)*(((1+Y18)^(E18/12)-1)/((1+Y18)^(1/12)-1))*(1+Y18)^(1/12)</f>
        <v>225265.3551252486</v>
      </c>
      <c r="AA18" s="33">
        <f>(1+RATE(E18,-F18,0,Z18,1))^12-1</f>
        <v>0.08902464278351485</v>
      </c>
      <c r="AB18" s="34">
        <f>(G18/100-AA18)*100</f>
        <v>1.047535721648514</v>
      </c>
      <c r="AC18" s="34">
        <f>T18+X18+AB18</f>
        <v>1.7475357216484284</v>
      </c>
      <c r="AD18" s="24">
        <f>IF(AC18=0,0,ROUND(T18*P18/AC18+1E-9,2))</f>
        <v>0.7</v>
      </c>
      <c r="AE18" s="24">
        <f>IF(AC18=0,0,ROUND(X18*P18/AC18+1E-9,2))</f>
        <v>0</v>
      </c>
      <c r="AF18" s="24">
        <f>IF(AC18=0,0,ROUND(AB18*P18/AC18+1E-9,2))</f>
        <v>1.05</v>
      </c>
      <c r="AG18" s="24">
        <v>0</v>
      </c>
      <c r="AH18" s="35">
        <f>ROUND(AD18+AE18+AF18+AG18+1E-9,2)</f>
        <v>1.75</v>
      </c>
    </row>
    <row r="19" spans="1:34" x14ac:dyDescent="0.25">
      <c r="A19" s="13" t="s">
        <v>76</v>
      </c>
      <c r="B19" s="23">
        <v>3</v>
      </c>
      <c r="C19" s="18">
        <f>IF(ROUND(D19/12,0)&gt;10,CHOOSE(B19,1,5,10,ROUND(D19/12,0)),CHOOSE(B19,1,3,5,ROUND(D19/12,0)))</f>
        <v>10</v>
      </c>
      <c r="D19" s="23">
        <v>240</v>
      </c>
      <c r="E19" s="18">
        <f>C19*12</f>
        <v>120</v>
      </c>
      <c r="F19" s="17">
        <f>INDEX('Fee Switch-Off'!$F$5:$F$30,MATCH($A19,'Fee Switch-Off'!$A$5:$A$30,0))</f>
        <v>3000</v>
      </c>
      <c r="G19" s="32">
        <v>9.95</v>
      </c>
      <c r="H19" s="24">
        <f>IF(ISNUMBER(SEARCH("TFI",INDEX('Fee Switch-Off'!$C$5:$C$30,MATCH($A19,'Fee Switch-Off'!$A$5:$A$30,0)))),Assumptions!$B$8,Assumptions!$B$7)</f>
        <v>0.7</v>
      </c>
      <c r="I19" s="16">
        <f>INDEX('Quote Summary'!$E$5:$E$30,MATCH($A19,'Quote Summary'!$A$5:$A$30,0))</f>
        <v>0</v>
      </c>
      <c r="J19" s="24">
        <f>Assumptions!$B$9</f>
        <v>0.35</v>
      </c>
      <c r="K19" s="16">
        <f>Assumptions!$B$10</f>
        <v>1.725</v>
      </c>
      <c r="L19" s="24">
        <f>Assumptions!$B$11</f>
        <v>0</v>
      </c>
      <c r="M19" s="33">
        <f>(G19-(H19+J19+I19+L19))/100</f>
        <v>0.089</v>
      </c>
      <c r="N19" s="17">
        <f>F19*(1-(K19)/100)*(((1+M19)^(E19/12)-1)/((1+M19)^(1/12)-1))*(1+M19)^(1/12)</f>
        <v>560405.2824950843</v>
      </c>
      <c r="O19" s="33">
        <f>(1+RATE(E19,-F19,0,N19,1))^12-1</f>
        <v>0.0856988368592615</v>
      </c>
      <c r="P19" s="34">
        <f>(G19/100-O19)*100</f>
        <v>1.3801163140738495</v>
      </c>
      <c r="Q19" s="33">
        <f>(G19-(H19))/100</f>
        <v>0.0925</v>
      </c>
      <c r="R19" s="17">
        <f>F19*(1-(0)/100)*(((1+Q19)^(E19/12)-1)/((1+Q19)^(1/12)-1))*(1+Q19)^(1/12)</f>
        <v>580873.1269157425</v>
      </c>
      <c r="S19" s="33">
        <f>(1+RATE(E19,-F19,0,R19,1))^12-1</f>
        <v>0.09250000000000314</v>
      </c>
      <c r="T19" s="34">
        <f>(G19/100-S19)*100</f>
        <v>0.6999999999996855</v>
      </c>
      <c r="U19" s="33">
        <f>(G19-(I19))/100</f>
        <v>0.09949999999999999</v>
      </c>
      <c r="V19" s="17">
        <f>F19*(1-(0)/100)*(((1+U19)^(E19/12)-1)/((1+U19)^(1/12)-1))*(1+U19)^(1/12)</f>
        <v>602775.0821311667</v>
      </c>
      <c r="W19" s="33">
        <f>(1+RATE(E19,-F19,0,V19,1))^12-1</f>
        <v>0.0994999999999977</v>
      </c>
      <c r="X19" s="34">
        <f>(G19/100-W19)*100</f>
        <v>2.2898349882893854e-13</v>
      </c>
      <c r="Y19" s="33">
        <f>(G19-(J19))/100</f>
        <v>0.09599999999999999</v>
      </c>
      <c r="Z19" s="17">
        <f>F19*(1-(K19)/100)*(((1+Y19)^(E19/12)-1)/((1+Y19)^(1/12)-1))*(1+Y19)^(1/12)</f>
        <v>581509.0404607136</v>
      </c>
      <c r="AA19" s="33">
        <f>(1+RATE(E19,-F19,0,Z19,1))^12-1</f>
        <v>0.09270718244705045</v>
      </c>
      <c r="AB19" s="34">
        <f>(G19/100-AA19)*100</f>
        <v>0.6792817552949539</v>
      </c>
      <c r="AC19" s="34">
        <f>T19+X19+AB19</f>
        <v>1.3792817552948684</v>
      </c>
      <c r="AD19" s="24">
        <f>IF(AC19=0,0,ROUND(T19*P19/AC19+1E-9,2))</f>
        <v>0.7</v>
      </c>
      <c r="AE19" s="24">
        <f>IF(AC19=0,0,ROUND(X19*P19/AC19+1E-9,2))</f>
        <v>0</v>
      </c>
      <c r="AF19" s="24">
        <f>IF(AC19=0,0,ROUND(AB19*P19/AC19+1E-9,2))</f>
        <v>0.68</v>
      </c>
      <c r="AG19" s="24">
        <v>0</v>
      </c>
      <c r="AH19" s="35">
        <f>ROUND(AD19+AE19+AF19+AG19+1E-9,2)</f>
        <v>1.38</v>
      </c>
    </row>
    <row r="20" spans="1:34" x14ac:dyDescent="0.25">
      <c r="A20" s="13" t="s">
        <v>76</v>
      </c>
      <c r="B20" s="23">
        <v>4</v>
      </c>
      <c r="C20" s="18">
        <f>IF(ROUND(D20/12,0)&gt;10,CHOOSE(B20,1,5,10,ROUND(D20/12,0)),CHOOSE(B20,1,3,5,ROUND(D20/12,0)))</f>
        <v>20</v>
      </c>
      <c r="D20" s="23">
        <v>240</v>
      </c>
      <c r="E20" s="18">
        <f>C20*12</f>
        <v>240</v>
      </c>
      <c r="F20" s="17">
        <f>INDEX('Fee Switch-Off'!$F$5:$F$30,MATCH($A20,'Fee Switch-Off'!$A$5:$A$30,0))</f>
        <v>3000</v>
      </c>
      <c r="G20" s="32">
        <v>9.95</v>
      </c>
      <c r="H20" s="24">
        <f>IF(ISNUMBER(SEARCH("TFI",INDEX('Fee Switch-Off'!$C$5:$C$30,MATCH($A20,'Fee Switch-Off'!$A$5:$A$30,0)))),Assumptions!$B$8,Assumptions!$B$7)</f>
        <v>0.7</v>
      </c>
      <c r="I20" s="16">
        <f>INDEX('Quote Summary'!$E$5:$E$30,MATCH($A20,'Quote Summary'!$A$5:$A$30,0))</f>
        <v>0</v>
      </c>
      <c r="J20" s="24">
        <f>Assumptions!$B$9</f>
        <v>0.35</v>
      </c>
      <c r="K20" s="16">
        <f>Assumptions!$B$10</f>
        <v>1.725</v>
      </c>
      <c r="L20" s="24">
        <f>Assumptions!$B$11</f>
        <v>0</v>
      </c>
      <c r="M20" s="33">
        <f>(G20-(H20+J20+I20+L20))/100</f>
        <v>0.089</v>
      </c>
      <c r="N20" s="17">
        <f>F20*(1-(K20)/100)*(((1+M20)^(E20/12)-1)/((1+M20)^(1/12)-1))*(1+M20)^(1/12)</f>
        <v>1874967.1128377083</v>
      </c>
      <c r="O20" s="33">
        <f>(1+RATE(E20,-F20,0,N20,1))^12-1</f>
        <v>0.08751304958329231</v>
      </c>
      <c r="P20" s="34">
        <f>(G20/100-O20)*100</f>
        <v>1.1986950416707678</v>
      </c>
      <c r="Q20" s="33">
        <f>(G20-(H20))/100</f>
        <v>0.0925</v>
      </c>
      <c r="R20" s="17">
        <f>F20*(1-(0)/100)*(((1+Q20)^(E20/12)-1)/((1+Q20)^(1/12)-1))*(1+Q20)^(1/12)</f>
        <v>1987878.4532238084</v>
      </c>
      <c r="S20" s="33">
        <f>(1+RATE(E20,-F20,0,R20,1))^12-1</f>
        <v>0.09250000000000314</v>
      </c>
      <c r="T20" s="34">
        <f>(G20/100-S20)*100</f>
        <v>0.6999999999996855</v>
      </c>
      <c r="U20" s="33">
        <f>(G20-(I20))/100</f>
        <v>0.09949999999999999</v>
      </c>
      <c r="V20" s="17">
        <f>F20*(1-(0)/100)*(((1+U20)^(E20/12)-1)/((1+U20)^(1/12)-1))*(1+U20)^(1/12)</f>
        <v>2159126.364520578</v>
      </c>
      <c r="W20" s="33">
        <f>(1+RATE(E20,-F20,0,V20,1))^12-1</f>
        <v>0.0994999999999977</v>
      </c>
      <c r="X20" s="34">
        <f>(G20/100-W20)*100</f>
        <v>2.2898349882893854e-13</v>
      </c>
      <c r="Y20" s="33">
        <f>(G20-(J20))/100</f>
        <v>0.09599999999999999</v>
      </c>
      <c r="Z20" s="17">
        <f>F20*(1-(K20)/100)*(((1+Y20)^(E20/12)-1)/((1+Y20)^(1/12)-1))*(1+Y20)^(1/12)</f>
        <v>2035835.8575730408</v>
      </c>
      <c r="AA20" s="33">
        <f>(1+RATE(E20,-F20,0,Z20,1))^12-1</f>
        <v>0.09452485572026914</v>
      </c>
      <c r="AB20" s="34">
        <f>(G20/100-AA20)*100</f>
        <v>0.49751442797308504</v>
      </c>
      <c r="AC20" s="34">
        <f>T20+X20+AB20</f>
        <v>1.1975144279729995</v>
      </c>
      <c r="AD20" s="24">
        <f>IF(AC20=0,0,ROUND(T20*P20/AC20+1E-9,2))</f>
        <v>0.7</v>
      </c>
      <c r="AE20" s="24">
        <f>IF(AC20=0,0,ROUND(X20*P20/AC20+1E-9,2))</f>
        <v>0</v>
      </c>
      <c r="AF20" s="24">
        <f>IF(AC20=0,0,ROUND(AB20*P20/AC20+1E-9,2))</f>
        <v>0.5</v>
      </c>
      <c r="AG20" s="24">
        <v>0</v>
      </c>
      <c r="AH20" s="35">
        <f>ROUND(AD20+AE20+AF20+AG20+1E-9,2)</f>
        <v>1.2</v>
      </c>
    </row>
    <row r="21" spans="1:34" x14ac:dyDescent="0.25">
      <c r="A21" s="13" t="s">
        <v>78</v>
      </c>
      <c r="B21" s="23">
        <v>1</v>
      </c>
      <c r="C21" s="18">
        <f>IF(ROUND(D21/12,0)&gt;10,CHOOSE(B21,1,5,10,ROUND(D21/12,0)),CHOOSE(B21,1,3,5,ROUND(D21/12,0)))</f>
        <v>1</v>
      </c>
      <c r="D21" s="23">
        <v>300</v>
      </c>
      <c r="E21" s="18">
        <f>C21*12</f>
        <v>12</v>
      </c>
      <c r="F21" s="17">
        <f>INDEX('Fee Switch-Off'!$F$5:$F$30,MATCH($A21,'Fee Switch-Off'!$A$5:$A$30,0))</f>
        <v>4500</v>
      </c>
      <c r="G21" s="32">
        <v>10.4</v>
      </c>
      <c r="H21" s="24">
        <f>IF(ISNUMBER(SEARCH("TFI",INDEX('Fee Switch-Off'!$C$5:$C$30,MATCH($A21,'Fee Switch-Off'!$A$5:$A$30,0)))),Assumptions!$B$8,Assumptions!$B$7)</f>
        <v>0.85</v>
      </c>
      <c r="I21" s="16">
        <f>INDEX('Quote Summary'!$E$5:$E$30,MATCH($A21,'Quote Summary'!$A$5:$A$30,0))</f>
        <v>0</v>
      </c>
      <c r="J21" s="24">
        <f>Assumptions!$B$9</f>
        <v>0.35</v>
      </c>
      <c r="K21" s="16">
        <f>Assumptions!$B$10</f>
        <v>1.725</v>
      </c>
      <c r="L21" s="24">
        <f>Assumptions!$B$11</f>
        <v>0</v>
      </c>
      <c r="M21" s="33">
        <f>(G21-(H21+J21+I21+L21))/100</f>
        <v>0.09200000000000001</v>
      </c>
      <c r="N21" s="17">
        <f>F21*(1-(K21)/100)*(((1+M21)^(E21/12)-1)/((1+M21)^(1/12)-1))*(1+M21)^(1/12)</f>
        <v>55677.5255646347</v>
      </c>
      <c r="O21" s="33">
        <f>(1+RATE(E21,-F21,0,N21,1))^12-1</f>
        <v>0.0578482932626494</v>
      </c>
      <c r="P21" s="34">
        <f>(G21/100-O21)*100</f>
        <v>4.6151706737350615</v>
      </c>
      <c r="Q21" s="33">
        <f>(G21-(H21))/100</f>
        <v>0.0955</v>
      </c>
      <c r="R21" s="17">
        <f>F21*(1-(0)/100)*(((1+Q21)^(E21/12)-1)/((1+Q21)^(1/12)-1))*(1+Q21)^(1/12)</f>
        <v>56754.454765491624</v>
      </c>
      <c r="S21" s="33">
        <f>(1+RATE(E21,-F21,0,R21,1))^12-1</f>
        <v>0.0955000000000068</v>
      </c>
      <c r="T21" s="34">
        <f>(G21/100-S21)*100</f>
        <v>0.8499999999993207</v>
      </c>
      <c r="U21" s="33">
        <f>(G21-(I21))/100</f>
        <v>0.10400000000000001</v>
      </c>
      <c r="V21" s="17">
        <f>F21*(1-(0)/100)*(((1+U21)^(E21/12)-1)/((1+U21)^(1/12)-1))*(1+U21)^(1/12)</f>
        <v>56996.02521167781</v>
      </c>
      <c r="W21" s="33">
        <f>(1+RATE(E21,-F21,0,V21,1))^12-1</f>
        <v>0.10400000000000098</v>
      </c>
      <c r="X21" s="34">
        <f>(G21/100-W21)*100</f>
        <v>-9.71445146547012e-14</v>
      </c>
      <c r="Y21" s="33">
        <f>(G21-(J21))/100</f>
        <v>0.1005</v>
      </c>
      <c r="Z21" s="17">
        <f>F21*(1-(K21)/100)*(((1+Y21)^(E21/12)-1)/((1+Y21)^(1/12)-1))*(1+Y21)^(1/12)</f>
        <v>55915.15608468358</v>
      </c>
      <c r="AA21" s="33">
        <f>(1+RATE(E21,-F21,0,Z21,1))^12-1</f>
        <v>0.06612218752391552</v>
      </c>
      <c r="AB21" s="34">
        <f>(G21/100-AA21)*100</f>
        <v>3.7877812476084487</v>
      </c>
      <c r="AC21" s="34">
        <f>T21+X21+AB21</f>
        <v>4.6377812476076725</v>
      </c>
      <c r="AD21" s="24">
        <f>IF(AC21=0,0,ROUND(T21*P21/AC21+1E-9,2))</f>
        <v>0.85</v>
      </c>
      <c r="AE21" s="24">
        <f>IF(AC21=0,0,ROUND(X21*P21/AC21+1E-9,2))</f>
        <v>0</v>
      </c>
      <c r="AF21" s="24">
        <f>IF(AC21=0,0,ROUND(AB21*P21/AC21+1E-9,2))</f>
        <v>3.77</v>
      </c>
      <c r="AG21" s="24">
        <v>0</v>
      </c>
      <c r="AH21" s="35">
        <f>ROUND(AD21+AE21+AF21+AG21+1E-9,2)</f>
        <v>4.62</v>
      </c>
    </row>
    <row r="22" spans="1:34" x14ac:dyDescent="0.25">
      <c r="A22" s="13" t="s">
        <v>78</v>
      </c>
      <c r="B22" s="23">
        <v>2</v>
      </c>
      <c r="C22" s="18">
        <f>IF(ROUND(D22/12,0)&gt;10,CHOOSE(B22,1,5,10,ROUND(D22/12,0)),CHOOSE(B22,1,3,5,ROUND(D22/12,0)))</f>
        <v>5</v>
      </c>
      <c r="D22" s="23">
        <v>300</v>
      </c>
      <c r="E22" s="18">
        <f>C22*12</f>
        <v>60</v>
      </c>
      <c r="F22" s="17">
        <f>INDEX('Fee Switch-Off'!$F$5:$F$30,MATCH($A22,'Fee Switch-Off'!$A$5:$A$30,0))</f>
        <v>4500</v>
      </c>
      <c r="G22" s="32">
        <v>10.4</v>
      </c>
      <c r="H22" s="24">
        <f>IF(ISNUMBER(SEARCH("TFI",INDEX('Fee Switch-Off'!$C$5:$C$30,MATCH($A22,'Fee Switch-Off'!$A$5:$A$30,0)))),Assumptions!$B$8,Assumptions!$B$7)</f>
        <v>0.85</v>
      </c>
      <c r="I22" s="16">
        <f>INDEX('Quote Summary'!$E$5:$E$30,MATCH($A22,'Quote Summary'!$A$5:$A$30,0))</f>
        <v>0</v>
      </c>
      <c r="J22" s="24">
        <f>Assumptions!$B$9</f>
        <v>0.35</v>
      </c>
      <c r="K22" s="16">
        <f>Assumptions!$B$10</f>
        <v>1.725</v>
      </c>
      <c r="L22" s="24">
        <f>Assumptions!$B$11</f>
        <v>0</v>
      </c>
      <c r="M22" s="33">
        <f>(G22-(H22+J22+I22+L22))/100</f>
        <v>0.09200000000000001</v>
      </c>
      <c r="N22" s="17">
        <f>F22*(1-(K22)/100)*(((1+M22)^(E22/12)-1)/((1+M22)^(1/12)-1))*(1+M22)^(1/12)</f>
        <v>334544.2629102966</v>
      </c>
      <c r="O22" s="33">
        <f>(1+RATE(E22,-F22,0,N22,1))^12-1</f>
        <v>0.08503082319564537</v>
      </c>
      <c r="P22" s="34">
        <f>(G22/100-O22)*100</f>
        <v>1.8969176804354642</v>
      </c>
      <c r="Q22" s="33">
        <f>(G22-(H22))/100</f>
        <v>0.0955</v>
      </c>
      <c r="R22" s="17">
        <f>F22*(1-(0)/100)*(((1+Q22)^(E22/12)-1)/((1+Q22)^(1/12)-1))*(1+Q22)^(1/12)</f>
        <v>343400.8081404555</v>
      </c>
      <c r="S22" s="33">
        <f>(1+RATE(E22,-F22,0,R22,1))^12-1</f>
        <v>0.0955000000000068</v>
      </c>
      <c r="T22" s="34">
        <f>(G22/100-S22)*100</f>
        <v>0.8499999999993207</v>
      </c>
      <c r="U22" s="33">
        <f>(G22-(I22))/100</f>
        <v>0.10400000000000001</v>
      </c>
      <c r="V22" s="17">
        <f>F22*(1-(0)/100)*(((1+U22)^(E22/12)-1)/((1+U22)^(1/12)-1))*(1+U22)^(1/12)</f>
        <v>350747.9139787461</v>
      </c>
      <c r="W22" s="33">
        <f>(1+RATE(E22,-F22,0,V22,1))^12-1</f>
        <v>0.10400000000000098</v>
      </c>
      <c r="X22" s="34">
        <f>(G22/100-W22)*100</f>
        <v>-9.71445146547012e-14</v>
      </c>
      <c r="Y22" s="33">
        <f>(G22-(J22))/100</f>
        <v>0.1005</v>
      </c>
      <c r="Z22" s="17">
        <f>F22*(1-(K22)/100)*(((1+Y22)^(E22/12)-1)/((1+Y22)^(1/12)-1))*(1+Y22)^(1/12)</f>
        <v>341707.5774486755</v>
      </c>
      <c r="AA22" s="33">
        <f>(1+RATE(E22,-F22,0,Z22,1))^12-1</f>
        <v>0.09351762792825768</v>
      </c>
      <c r="AB22" s="34">
        <f>(G22/100-AA22)*100</f>
        <v>1.0482372071742323</v>
      </c>
      <c r="AC22" s="34">
        <f>T22+X22+AB22</f>
        <v>1.898237207173456</v>
      </c>
      <c r="AD22" s="24">
        <f>IF(AC22=0,0,ROUND(T22*P22/AC22+1E-9,2))</f>
        <v>0.85</v>
      </c>
      <c r="AE22" s="24">
        <f>IF(AC22=0,0,ROUND(X22*P22/AC22+1E-9,2))</f>
        <v>0</v>
      </c>
      <c r="AF22" s="24">
        <f>IF(AC22=0,0,ROUND(AB22*P22/AC22+1E-9,2))</f>
        <v>1.05</v>
      </c>
      <c r="AG22" s="24">
        <v>0</v>
      </c>
      <c r="AH22" s="35">
        <f>ROUND(AD22+AE22+AF22+AG22+1E-9,2)</f>
        <v>1.9</v>
      </c>
    </row>
    <row r="23" spans="1:34" x14ac:dyDescent="0.25">
      <c r="A23" s="13" t="s">
        <v>78</v>
      </c>
      <c r="B23" s="23">
        <v>3</v>
      </c>
      <c r="C23" s="18">
        <f>IF(ROUND(D23/12,0)&gt;10,CHOOSE(B23,1,5,10,ROUND(D23/12,0)),CHOOSE(B23,1,3,5,ROUND(D23/12,0)))</f>
        <v>10</v>
      </c>
      <c r="D23" s="23">
        <v>300</v>
      </c>
      <c r="E23" s="18">
        <f>C23*12</f>
        <v>120</v>
      </c>
      <c r="F23" s="17">
        <f>INDEX('Fee Switch-Off'!$F$5:$F$30,MATCH($A23,'Fee Switch-Off'!$A$5:$A$30,0))</f>
        <v>4500</v>
      </c>
      <c r="G23" s="32">
        <v>10.4</v>
      </c>
      <c r="H23" s="24">
        <f>IF(ISNUMBER(SEARCH("TFI",INDEX('Fee Switch-Off'!$C$5:$C$30,MATCH($A23,'Fee Switch-Off'!$A$5:$A$30,0)))),Assumptions!$B$8,Assumptions!$B$7)</f>
        <v>0.85</v>
      </c>
      <c r="I23" s="16">
        <f>INDEX('Quote Summary'!$E$5:$E$30,MATCH($A23,'Quote Summary'!$A$5:$A$30,0))</f>
        <v>0</v>
      </c>
      <c r="J23" s="24">
        <f>Assumptions!$B$9</f>
        <v>0.35</v>
      </c>
      <c r="K23" s="16">
        <f>Assumptions!$B$10</f>
        <v>1.725</v>
      </c>
      <c r="L23" s="24">
        <f>Assumptions!$B$11</f>
        <v>0</v>
      </c>
      <c r="M23" s="33">
        <f>(G23-(H23+J23+I23+L23))/100</f>
        <v>0.09200000000000001</v>
      </c>
      <c r="N23" s="17">
        <f>F23*(1-(K23)/100)*(((1+M23)^(E23/12)-1)/((1+M23)^(1/12)-1))*(1+M23)^(1/12)</f>
        <v>854021.8066988295</v>
      </c>
      <c r="O23" s="33">
        <f>(1+RATE(E23,-F23,0,N23,1))^12-1</f>
        <v>0.08870247484858296</v>
      </c>
      <c r="P23" s="34">
        <f>(G23/100-O23)*100</f>
        <v>1.529752515141705</v>
      </c>
      <c r="Q23" s="33">
        <f>(G23-(H23))/100</f>
        <v>0.0955</v>
      </c>
      <c r="R23" s="17">
        <f>F23*(1-(0)/100)*(((1+Q23)^(E23/12)-1)/((1+Q23)^(1/12)-1))*(1+Q23)^(1/12)</f>
        <v>885231.026483924</v>
      </c>
      <c r="S23" s="33">
        <f>(1+RATE(E23,-F23,0,R23,1))^12-1</f>
        <v>0.09550000000000103</v>
      </c>
      <c r="T23" s="34">
        <f>(G23/100-S23)*100</f>
        <v>0.8499999999998981</v>
      </c>
      <c r="U23" s="33">
        <f>(G23-(I23))/100</f>
        <v>0.10400000000000001</v>
      </c>
      <c r="V23" s="17">
        <f>F23*(1-(0)/100)*(((1+U23)^(E23/12)-1)/((1+U23)^(1/12)-1))*(1+U23)^(1/12)</f>
        <v>925976.5047269423</v>
      </c>
      <c r="W23" s="33">
        <f>(1+RATE(E23,-F23,0,V23,1))^12-1</f>
        <v>0.10400000000000098</v>
      </c>
      <c r="X23" s="34">
        <f>(G23/100-W23)*100</f>
        <v>-9.71445146547012e-14</v>
      </c>
      <c r="Y23" s="33">
        <f>(G23-(J23))/100</f>
        <v>0.1005</v>
      </c>
      <c r="Z23" s="17">
        <f>F23*(1-(K23)/100)*(((1+Y23)^(E23/12)-1)/((1+Y23)^(1/12)-1))*(1+Y23)^(1/12)</f>
        <v>893282.92071481</v>
      </c>
      <c r="AA23" s="33">
        <f>(1+RATE(E23,-F23,0,Z23,1))^12-1</f>
        <v>0.09721228545993998</v>
      </c>
      <c r="AB23" s="34">
        <f>(G23/100-AA23)*100</f>
        <v>0.6787714540060025</v>
      </c>
      <c r="AC23" s="34">
        <f>T23+X23+AB23</f>
        <v>1.5287714540058035</v>
      </c>
      <c r="AD23" s="24">
        <f>IF(AC23=0,0,ROUND(T23*P23/AC23+1E-9,2))</f>
        <v>0.85</v>
      </c>
      <c r="AE23" s="24">
        <f>IF(AC23=0,0,ROUND(X23*P23/AC23+1E-9,2))</f>
        <v>0</v>
      </c>
      <c r="AF23" s="24">
        <f>IF(AC23=0,0,ROUND(AB23*P23/AC23+1E-9,2))</f>
        <v>0.68</v>
      </c>
      <c r="AG23" s="24">
        <v>0</v>
      </c>
      <c r="AH23" s="35">
        <f>ROUND(AD23+AE23+AF23+AG23+1E-9,2)</f>
        <v>1.53</v>
      </c>
    </row>
    <row r="24" spans="1:34" x14ac:dyDescent="0.25">
      <c r="A24" s="13" t="s">
        <v>78</v>
      </c>
      <c r="B24" s="23">
        <v>4</v>
      </c>
      <c r="C24" s="18">
        <f>IF(ROUND(D24/12,0)&gt;10,CHOOSE(B24,1,5,10,ROUND(D24/12,0)),CHOOSE(B24,1,3,5,ROUND(D24/12,0)))</f>
        <v>25</v>
      </c>
      <c r="D24" s="23">
        <v>300</v>
      </c>
      <c r="E24" s="18">
        <f>C24*12</f>
        <v>300</v>
      </c>
      <c r="F24" s="17">
        <f>INDEX('Fee Switch-Off'!$F$5:$F$30,MATCH($A24,'Fee Switch-Off'!$A$5:$A$30,0))</f>
        <v>4500</v>
      </c>
      <c r="G24" s="32">
        <v>10.4</v>
      </c>
      <c r="H24" s="24">
        <f>IF(ISNUMBER(SEARCH("TFI",INDEX('Fee Switch-Off'!$C$5:$C$30,MATCH($A24,'Fee Switch-Off'!$A$5:$A$30,0)))),Assumptions!$B$8,Assumptions!$B$7)</f>
        <v>0.85</v>
      </c>
      <c r="I24" s="16">
        <f>INDEX('Quote Summary'!$E$5:$E$30,MATCH($A24,'Quote Summary'!$A$5:$A$30,0))</f>
        <v>0</v>
      </c>
      <c r="J24" s="24">
        <f>Assumptions!$B$9</f>
        <v>0.35</v>
      </c>
      <c r="K24" s="16">
        <f>Assumptions!$B$10</f>
        <v>1.725</v>
      </c>
      <c r="L24" s="24">
        <f>Assumptions!$B$11</f>
        <v>0</v>
      </c>
      <c r="M24" s="33">
        <f>(G24-(H24+J24+I24+L24))/100</f>
        <v>0.09200000000000001</v>
      </c>
      <c r="N24" s="17">
        <f>F24*(1-(K24)/100)*(((1+M24)^(E24/12)-1)/((1+M24)^(1/12)-1))*(1+M24)^(1/12)</f>
        <v>4858147.354493091</v>
      </c>
      <c r="O24" s="33">
        <f>(1+RATE(E24,-F24,0,N24,1))^12-1</f>
        <v>0.09086767292965647</v>
      </c>
      <c r="P24" s="34">
        <f>(G24/100-O24)*100</f>
        <v>1.3132327070343535</v>
      </c>
      <c r="Q24" s="33">
        <f>(G24-(H24))/100</f>
        <v>0.0955</v>
      </c>
      <c r="R24" s="17">
        <f>F24*(1-(0)/100)*(((1+Q24)^(E24/12)-1)/((1+Q24)^(1/12)-1))*(1+Q24)^(1/12)</f>
        <v>5217451.908348827</v>
      </c>
      <c r="S24" s="33">
        <f>(1+RATE(E24,-F24,0,R24,1))^12-1</f>
        <v>0.09550000000000103</v>
      </c>
      <c r="T24" s="34">
        <f>(G24/100-S24)*100</f>
        <v>0.8499999999998981</v>
      </c>
      <c r="U24" s="33">
        <f>(G24-(I24))/100</f>
        <v>0.10400000000000001</v>
      </c>
      <c r="V24" s="17">
        <f>F24*(1-(0)/100)*(((1+U24)^(E24/12)-1)/((1+U24)^(1/12)-1))*(1+U24)^(1/12)</f>
        <v>5953828.055978915</v>
      </c>
      <c r="W24" s="33">
        <f>(1+RATE(E24,-F24,0,V24,1))^12-1</f>
        <v>0.10400000000000098</v>
      </c>
      <c r="X24" s="34">
        <f>(G24/100-W24)*100</f>
        <v>-9.71445146547012e-14</v>
      </c>
      <c r="Y24" s="33">
        <f>(G24-(J24))/100</f>
        <v>0.1005</v>
      </c>
      <c r="Z24" s="17">
        <f>F24*(1-(K24)/100)*(((1+Y24)^(E24/12)-1)/((1+Y24)^(1/12)-1))*(1+Y24)^(1/12)</f>
        <v>5540608.625870858</v>
      </c>
      <c r="AA24" s="33">
        <f>(1+RATE(E24,-F24,0,Z24,1))^12-1</f>
        <v>0.09938003366346093</v>
      </c>
      <c r="AB24" s="34">
        <f>(G24/100-AA24)*100</f>
        <v>0.46199663365390775</v>
      </c>
      <c r="AC24" s="34">
        <f>T24+X24+AB24</f>
        <v>1.3119966336537088</v>
      </c>
      <c r="AD24" s="24">
        <f>IF(AC24=0,0,ROUND(T24*P24/AC24+1E-9,2))</f>
        <v>0.85</v>
      </c>
      <c r="AE24" s="24">
        <f>IF(AC24=0,0,ROUND(X24*P24/AC24+1E-9,2))</f>
        <v>0</v>
      </c>
      <c r="AF24" s="24">
        <f>IF(AC24=0,0,ROUND(AB24*P24/AC24+1E-9,2))</f>
        <v>0.46</v>
      </c>
      <c r="AG24" s="24">
        <v>0</v>
      </c>
      <c r="AH24" s="35">
        <f>ROUND(AD24+AE24+AF24+AG24+1E-9,2)</f>
        <v>1.31</v>
      </c>
    </row>
    <row r="25" spans="1:34" x14ac:dyDescent="0.25">
      <c r="A25" s="13" t="s">
        <v>80</v>
      </c>
      <c r="B25" s="23">
        <v>1</v>
      </c>
      <c r="C25" s="18">
        <f>IF(ROUND(D25/12,0)&gt;10,CHOOSE(B25,1,5,10,ROUND(D25/12,0)),CHOOSE(B25,1,3,5,ROUND(D25/12,0)))</f>
        <v>1</v>
      </c>
      <c r="D25" s="23">
        <v>180</v>
      </c>
      <c r="E25" s="18">
        <f>C25*12</f>
        <v>12</v>
      </c>
      <c r="F25" s="17">
        <f>INDEX('Fee Switch-Off'!$F$5:$F$30,MATCH($A25,'Fee Switch-Off'!$A$5:$A$30,0))</f>
        <v>1500</v>
      </c>
      <c r="G25" s="32">
        <v>10.85</v>
      </c>
      <c r="H25" s="24">
        <f>IF(ISNUMBER(SEARCH("TFI",INDEX('Fee Switch-Off'!$C$5:$C$30,MATCH($A25,'Fee Switch-Off'!$A$5:$A$30,0)))),Assumptions!$B$8,Assumptions!$B$7)</f>
        <v>0.85</v>
      </c>
      <c r="I25" s="16">
        <f>INDEX('Quote Summary'!$E$5:$E$30,MATCH($A25,'Quote Summary'!$A$5:$A$30,0))</f>
        <v>0</v>
      </c>
      <c r="J25" s="24">
        <f>Assumptions!$B$9</f>
        <v>0.35</v>
      </c>
      <c r="K25" s="16">
        <f>Assumptions!$B$10</f>
        <v>1.725</v>
      </c>
      <c r="L25" s="24">
        <f>Assumptions!$B$11</f>
        <v>0</v>
      </c>
      <c r="M25" s="33">
        <f>(G25-(H25+J25+I25+L25))/100</f>
        <v>0.0965</v>
      </c>
      <c r="N25" s="17">
        <f>F25*(1-(K25)/100)*(((1+M25)^(E25/12)-1)/((1+M25)^(1/12)-1))*(1+M25)^(1/12)</f>
        <v>18601.132945121564</v>
      </c>
      <c r="O25" s="33">
        <f>(1+RATE(E25,-F25,0,N25,1))^12-1</f>
        <v>0.062228563712069196</v>
      </c>
      <c r="P25" s="34">
        <f>(G25/100-O25)*100</f>
        <v>4.62714362879308</v>
      </c>
      <c r="Q25" s="33">
        <f>(G25-(H25))/100</f>
        <v>0.1</v>
      </c>
      <c r="R25" s="17">
        <f>F25*(1-(0)/100)*(((1+Q25)^(E25/12)-1)/((1+Q25)^(1/12)-1))*(1+Q25)^(1/12)</f>
        <v>18960.80491839564</v>
      </c>
      <c r="S25" s="33">
        <f>(1+RATE(E25,-F25,0,R25,1))^12-1</f>
        <v>0.09999999999999742</v>
      </c>
      <c r="T25" s="34">
        <f>(G25/100-S25)*100</f>
        <v>0.8500000000002574</v>
      </c>
      <c r="U25" s="33">
        <f>(G25-(I25))/100</f>
        <v>0.1085</v>
      </c>
      <c r="V25" s="17">
        <f>F25*(1-(0)/100)*(((1+U25)^(E25/12)-1)/((1+U25)^(1/12)-1))*(1+U25)^(1/12)</f>
        <v>19041.229872692293</v>
      </c>
      <c r="W25" s="33">
        <f>(1+RATE(E25,-F25,0,V25,1))^12-1</f>
        <v>0.10850000000000337</v>
      </c>
      <c r="X25" s="34">
        <f>(G25/100-W25)*100</f>
        <v>-3.372302437298913e-13</v>
      </c>
      <c r="Y25" s="33">
        <f>(G25-(J25))/100</f>
        <v>0.105</v>
      </c>
      <c r="Z25" s="17">
        <f>F25*(1-(K25)/100)*(((1+Y25)^(E25/12)-1)/((1+Y25)^(1/12)-1))*(1+Y25)^(1/12)</f>
        <v>18680.245828605508</v>
      </c>
      <c r="AA25" s="33">
        <f>(1+RATE(E25,-F25,0,Z25,1))^12-1</f>
        <v>0.07050257034432073</v>
      </c>
      <c r="AB25" s="34">
        <f>(G25/100-AA25)*100</f>
        <v>3.7997429655679276</v>
      </c>
      <c r="AC25" s="34">
        <f>T25+X25+AB25</f>
        <v>4.649742965567848</v>
      </c>
      <c r="AD25" s="24">
        <f>IF(AC25=0,0,ROUND(T25*P25/AC25+1E-9,2))</f>
        <v>0.85</v>
      </c>
      <c r="AE25" s="24">
        <f>IF(AC25=0,0,ROUND(X25*P25/AC25+1E-9,2))</f>
        <v>0</v>
      </c>
      <c r="AF25" s="24">
        <f>IF(AC25=0,0,ROUND(AB25*P25/AC25+1E-9,2))</f>
        <v>3.78</v>
      </c>
      <c r="AG25" s="24">
        <v>0</v>
      </c>
      <c r="AH25" s="35">
        <f>ROUND(AD25+AE25+AF25+AG25+1E-9,2)</f>
        <v>4.63</v>
      </c>
    </row>
    <row r="26" spans="1:34" x14ac:dyDescent="0.25">
      <c r="A26" s="13" t="s">
        <v>80</v>
      </c>
      <c r="B26" s="23">
        <v>2</v>
      </c>
      <c r="C26" s="18">
        <f>IF(ROUND(D26/12,0)&gt;10,CHOOSE(B26,1,5,10,ROUND(D26/12,0)),CHOOSE(B26,1,3,5,ROUND(D26/12,0)))</f>
        <v>5</v>
      </c>
      <c r="D26" s="23">
        <v>180</v>
      </c>
      <c r="E26" s="18">
        <f>C26*12</f>
        <v>60</v>
      </c>
      <c r="F26" s="17">
        <f>INDEX('Fee Switch-Off'!$F$5:$F$30,MATCH($A26,'Fee Switch-Off'!$A$5:$A$30,0))</f>
        <v>1500</v>
      </c>
      <c r="G26" s="32">
        <v>10.85</v>
      </c>
      <c r="H26" s="24">
        <f>IF(ISNUMBER(SEARCH("TFI",INDEX('Fee Switch-Off'!$C$5:$C$30,MATCH($A26,'Fee Switch-Off'!$A$5:$A$30,0)))),Assumptions!$B$8,Assumptions!$B$7)</f>
        <v>0.85</v>
      </c>
      <c r="I26" s="16">
        <f>INDEX('Quote Summary'!$E$5:$E$30,MATCH($A26,'Quote Summary'!$A$5:$A$30,0))</f>
        <v>0</v>
      </c>
      <c r="J26" s="24">
        <f>Assumptions!$B$9</f>
        <v>0.35</v>
      </c>
      <c r="K26" s="16">
        <f>Assumptions!$B$10</f>
        <v>1.725</v>
      </c>
      <c r="L26" s="24">
        <f>Assumptions!$B$11</f>
        <v>0</v>
      </c>
      <c r="M26" s="33">
        <f>(G26-(H26+J26+I26+L26))/100</f>
        <v>0.0965</v>
      </c>
      <c r="N26" s="17">
        <f>F26*(1-(K26)/100)*(((1+M26)^(E26/12)-1)/((1+M26)^(1/12)-1))*(1+M26)^(1/12)</f>
        <v>112773.13295150947</v>
      </c>
      <c r="O26" s="33">
        <f>(1+RATE(E26,-F26,0,N26,1))^12-1</f>
        <v>0.08952386658507683</v>
      </c>
      <c r="P26" s="34">
        <f>(G26/100-O26)*100</f>
        <v>1.897613341492317</v>
      </c>
      <c r="Q26" s="33">
        <f>(G26-(H26))/100</f>
        <v>0.1</v>
      </c>
      <c r="R26" s="17">
        <f>F26*(1-(0)/100)*(((1+Q26)^(E26/12)-1)/((1+Q26)^(1/12)-1))*(1+Q26)^(1/12)</f>
        <v>115757.61010729731</v>
      </c>
      <c r="S26" s="33">
        <f>(1+RATE(E26,-F26,0,R26,1))^12-1</f>
        <v>0.09999999999999742</v>
      </c>
      <c r="T26" s="34">
        <f>(G26/100-S26)*100</f>
        <v>0.8500000000002574</v>
      </c>
      <c r="U26" s="33">
        <f>(G26-(I26))/100</f>
        <v>0.1085</v>
      </c>
      <c r="V26" s="17">
        <f>F26*(1-(0)/100)*(((1+U26)^(E26/12)-1)/((1+U26)^(1/12)-1))*(1+U26)^(1/12)</f>
        <v>118231.70958364486</v>
      </c>
      <c r="W26" s="33">
        <f>(1+RATE(E26,-F26,0,V26,1))^12-1</f>
        <v>0.10850000000000337</v>
      </c>
      <c r="X26" s="34">
        <f>(G26/100-W26)*100</f>
        <v>-3.372302437298913e-13</v>
      </c>
      <c r="Y26" s="33">
        <f>(G26-(J26))/100</f>
        <v>0.105</v>
      </c>
      <c r="Z26" s="17">
        <f>F26*(1-(K26)/100)*(((1+Y26)^(E26/12)-1)/((1+Y26)^(1/12)-1))*(1+Y26)^(1/12)</f>
        <v>115185.3785591097</v>
      </c>
      <c r="AA26" s="33">
        <f>(1+RATE(E26,-F26,0,Z26,1))^12-1</f>
        <v>0.09801054790656316</v>
      </c>
      <c r="AB26" s="34">
        <f>(G26/100-AA26)*100</f>
        <v>1.0489452093436837</v>
      </c>
      <c r="AC26" s="34">
        <f>T26+X26+AB26</f>
        <v>1.898945209343604</v>
      </c>
      <c r="AD26" s="24">
        <f>IF(AC26=0,0,ROUND(T26*P26/AC26+1E-9,2))</f>
        <v>0.85</v>
      </c>
      <c r="AE26" s="24">
        <f>IF(AC26=0,0,ROUND(X26*P26/AC26+1E-9,2))</f>
        <v>0</v>
      </c>
      <c r="AF26" s="24">
        <f>IF(AC26=0,0,ROUND(AB26*P26/AC26+1E-9,2))</f>
        <v>1.05</v>
      </c>
      <c r="AG26" s="24">
        <v>0</v>
      </c>
      <c r="AH26" s="35">
        <f>ROUND(AD26+AE26+AF26+AG26+1E-9,2)</f>
        <v>1.9</v>
      </c>
    </row>
    <row r="27" spans="1:34" x14ac:dyDescent="0.25">
      <c r="A27" s="13" t="s">
        <v>80</v>
      </c>
      <c r="B27" s="23">
        <v>3</v>
      </c>
      <c r="C27" s="18">
        <f>IF(ROUND(D27/12,0)&gt;10,CHOOSE(B27,1,5,10,ROUND(D27/12,0)),CHOOSE(B27,1,3,5,ROUND(D27/12,0)))</f>
        <v>10</v>
      </c>
      <c r="D27" s="23">
        <v>180</v>
      </c>
      <c r="E27" s="18">
        <f>C27*12</f>
        <v>120</v>
      </c>
      <c r="F27" s="17">
        <f>INDEX('Fee Switch-Off'!$F$5:$F$30,MATCH($A27,'Fee Switch-Off'!$A$5:$A$30,0))</f>
        <v>1500</v>
      </c>
      <c r="G27" s="32">
        <v>10.85</v>
      </c>
      <c r="H27" s="24">
        <f>IF(ISNUMBER(SEARCH("TFI",INDEX('Fee Switch-Off'!$C$5:$C$30,MATCH($A27,'Fee Switch-Off'!$A$5:$A$30,0)))),Assumptions!$B$8,Assumptions!$B$7)</f>
        <v>0.85</v>
      </c>
      <c r="I27" s="16">
        <f>INDEX('Quote Summary'!$E$5:$E$30,MATCH($A27,'Quote Summary'!$A$5:$A$30,0))</f>
        <v>0</v>
      </c>
      <c r="J27" s="24">
        <f>Assumptions!$B$9</f>
        <v>0.35</v>
      </c>
      <c r="K27" s="16">
        <f>Assumptions!$B$10</f>
        <v>1.725</v>
      </c>
      <c r="L27" s="24">
        <f>Assumptions!$B$11</f>
        <v>0</v>
      </c>
      <c r="M27" s="33">
        <f>(G27-(H27+J27+I27+L27))/100</f>
        <v>0.0965</v>
      </c>
      <c r="N27" s="17">
        <f>F27*(1-(K27)/100)*(((1+M27)^(E27/12)-1)/((1+M27)^(1/12)-1))*(1+M27)^(1/12)</f>
        <v>291524.27524716535</v>
      </c>
      <c r="O27" s="33">
        <f>(1+RATE(E27,-F27,0,N27,1))^12-1</f>
        <v>0.09320775949311444</v>
      </c>
      <c r="P27" s="34">
        <f>(G27/100-O27)*100</f>
        <v>1.529224050688556</v>
      </c>
      <c r="Q27" s="33">
        <f>(G27-(H27))/100</f>
        <v>0.1</v>
      </c>
      <c r="R27" s="17">
        <f>F27*(1-(0)/100)*(((1+Q27)^(E27/12)-1)/((1+Q27)^(1/12)-1))*(1+Q27)^(1/12)</f>
        <v>302186.3987612009</v>
      </c>
      <c r="S27" s="33">
        <f>(1+RATE(E27,-F27,0,R27,1))^12-1</f>
        <v>0.09999999999999742</v>
      </c>
      <c r="T27" s="34">
        <f>(G27/100-S27)*100</f>
        <v>0.8500000000002574</v>
      </c>
      <c r="U27" s="33">
        <f>(G27-(I27))/100</f>
        <v>0.1085</v>
      </c>
      <c r="V27" s="17">
        <f>F27*(1-(0)/100)*(((1+U27)^(E27/12)-1)/((1+U27)^(1/12)-1))*(1+U27)^(1/12)</f>
        <v>316116.51883741067</v>
      </c>
      <c r="W27" s="33">
        <f>(1+RATE(E27,-F27,0,V27,1))^12-1</f>
        <v>0.10850000000000337</v>
      </c>
      <c r="X27" s="34">
        <f>(G27/100-W27)*100</f>
        <v>-3.372302437298913e-13</v>
      </c>
      <c r="Y27" s="33">
        <f>(G27-(J27))/100</f>
        <v>0.105</v>
      </c>
      <c r="Z27" s="17">
        <f>F27*(1-(K27)/100)*(((1+Y27)^(E27/12)-1)/((1+Y27)^(1/12)-1))*(1+Y27)^(1/12)</f>
        <v>304947.15794996254</v>
      </c>
      <c r="AA27" s="33">
        <f>(1+RATE(E27,-F27,0,Z27,1))^12-1</f>
        <v>0.10171718692432763</v>
      </c>
      <c r="AB27" s="34">
        <f>(G27/100-AA27)*100</f>
        <v>0.6782813075672369</v>
      </c>
      <c r="AC27" s="34">
        <f>T27+X27+AB27</f>
        <v>1.528281307567157</v>
      </c>
      <c r="AD27" s="24">
        <f>IF(AC27=0,0,ROUND(T27*P27/AC27+1E-9,2))</f>
        <v>0.85</v>
      </c>
      <c r="AE27" s="24">
        <f>IF(AC27=0,0,ROUND(X27*P27/AC27+1E-9,2))</f>
        <v>0</v>
      </c>
      <c r="AF27" s="24">
        <f>IF(AC27=0,0,ROUND(AB27*P27/AC27+1E-9,2))</f>
        <v>0.68</v>
      </c>
      <c r="AG27" s="24">
        <v>0</v>
      </c>
      <c r="AH27" s="35">
        <f>ROUND(AD27+AE27+AF27+AG27+1E-9,2)</f>
        <v>1.53</v>
      </c>
    </row>
    <row r="28" spans="1:34" x14ac:dyDescent="0.25">
      <c r="A28" s="13" t="s">
        <v>80</v>
      </c>
      <c r="B28" s="23">
        <v>4</v>
      </c>
      <c r="C28" s="18">
        <f>IF(ROUND(D28/12,0)&gt;10,CHOOSE(B28,1,5,10,ROUND(D28/12,0)),CHOOSE(B28,1,3,5,ROUND(D28/12,0)))</f>
        <v>15</v>
      </c>
      <c r="D28" s="23">
        <v>180</v>
      </c>
      <c r="E28" s="18">
        <f>C28*12</f>
        <v>180</v>
      </c>
      <c r="F28" s="17">
        <f>INDEX('Fee Switch-Off'!$F$5:$F$30,MATCH($A28,'Fee Switch-Off'!$A$5:$A$30,0))</f>
        <v>1500</v>
      </c>
      <c r="G28" s="32">
        <v>10.85</v>
      </c>
      <c r="H28" s="24">
        <f>IF(ISNUMBER(SEARCH("TFI",INDEX('Fee Switch-Off'!$C$5:$C$30,MATCH($A28,'Fee Switch-Off'!$A$5:$A$30,0)))),Assumptions!$B$8,Assumptions!$B$7)</f>
        <v>0.85</v>
      </c>
      <c r="I28" s="16">
        <f>INDEX('Quote Summary'!$E$5:$E$30,MATCH($A28,'Quote Summary'!$A$5:$A$30,0))</f>
        <v>0</v>
      </c>
      <c r="J28" s="24">
        <f>Assumptions!$B$9</f>
        <v>0.35</v>
      </c>
      <c r="K28" s="16">
        <f>Assumptions!$B$10</f>
        <v>1.725</v>
      </c>
      <c r="L28" s="24">
        <f>Assumptions!$B$11</f>
        <v>0</v>
      </c>
      <c r="M28" s="33">
        <f>(G28-(H28+J28+I28+L28))/100</f>
        <v>0.0965</v>
      </c>
      <c r="N28" s="17">
        <f>F28*(1-(K28)/100)*(((1+M28)^(E28/12)-1)/((1+M28)^(1/12)-1))*(1+M28)^(1/12)</f>
        <v>574853.9126860807</v>
      </c>
      <c r="O28" s="33">
        <f>(1+RATE(E28,-F28,0,N28,1))^12-1</f>
        <v>0.0944281195815595</v>
      </c>
      <c r="P28" s="34">
        <f>(G28/100-O28)*100</f>
        <v>1.4071880418440499</v>
      </c>
      <c r="Q28" s="33">
        <f>(G28-(H28))/100</f>
        <v>0.1</v>
      </c>
      <c r="R28" s="17">
        <f>F28*(1-(0)/100)*(((1+Q28)^(E28/12)-1)/((1+Q28)^(1/12)-1))*(1+Q28)^(1/12)</f>
        <v>602431.8271761998</v>
      </c>
      <c r="S28" s="33">
        <f>(1+RATE(E28,-F28,0,R28,1))^12-1</f>
        <v>0.09999999999999742</v>
      </c>
      <c r="T28" s="34">
        <f>(G28/100-S28)*100</f>
        <v>0.8500000000002574</v>
      </c>
      <c r="U28" s="33">
        <f>(G28-(I28))/100</f>
        <v>0.1085</v>
      </c>
      <c r="V28" s="17">
        <f>F28*(1-(0)/100)*(((1+U28)^(E28/12)-1)/((1+U28)^(1/12)-1))*(1+U28)^(1/12)</f>
        <v>647316.9884178329</v>
      </c>
      <c r="W28" s="33">
        <f>(1+RATE(E28,-F28,0,V28,1))^12-1</f>
        <v>0.10850000000000337</v>
      </c>
      <c r="X28" s="34">
        <f>(G28/100-W28)*100</f>
        <v>-3.372302437298913e-13</v>
      </c>
      <c r="Y28" s="33">
        <f>(G28-(J28))/100</f>
        <v>0.105</v>
      </c>
      <c r="Z28" s="17">
        <f>F28*(1-(K28)/100)*(((1+Y28)^(E28/12)-1)/((1+Y28)^(1/12)-1))*(1+Y28)^(1/12)</f>
        <v>617569.587706563</v>
      </c>
      <c r="AA28" s="33">
        <f>(1+RATE(E28,-F28,0,Z28,1))^12-1</f>
        <v>0.10294143151371382</v>
      </c>
      <c r="AB28" s="34">
        <f>(G28/100-AA28)*100</f>
        <v>0.5558568486286177</v>
      </c>
      <c r="AC28" s="34">
        <f>T28+X28+AB28</f>
        <v>1.4058568486285379</v>
      </c>
      <c r="AD28" s="24">
        <f>IF(AC28=0,0,ROUND(T28*P28/AC28+1E-9,2))</f>
        <v>0.85</v>
      </c>
      <c r="AE28" s="24">
        <f>IF(AC28=0,0,ROUND(X28*P28/AC28+1E-9,2))</f>
        <v>0</v>
      </c>
      <c r="AF28" s="24">
        <f>IF(AC28=0,0,ROUND(AB28*P28/AC28+1E-9,2))</f>
        <v>0.56</v>
      </c>
      <c r="AG28" s="24">
        <v>0</v>
      </c>
      <c r="AH28" s="35">
        <f>ROUND(AD28+AE28+AF28+AG28+1E-9,2)</f>
        <v>1.41</v>
      </c>
    </row>
    <row r="29" spans="1:34" x14ac:dyDescent="0.25">
      <c r="A29" s="13" t="s">
        <v>82</v>
      </c>
      <c r="B29" s="23">
        <v>1</v>
      </c>
      <c r="C29" s="18">
        <f>IF(ROUND(D29/12,0)&gt;10,CHOOSE(B29,1,5,10,ROUND(D29/12,0)),CHOOSE(B29,1,3,5,ROUND(D29/12,0)))</f>
        <v>1</v>
      </c>
      <c r="D29" s="23">
        <v>240</v>
      </c>
      <c r="E29" s="18">
        <f>C29*12</f>
        <v>12</v>
      </c>
      <c r="F29" s="17">
        <f>INDEX('Fee Switch-Off'!$F$5:$F$30,MATCH($A29,'Fee Switch-Off'!$A$5:$A$30,0))</f>
        <v>1000</v>
      </c>
      <c r="G29" s="32">
        <v>8.6</v>
      </c>
      <c r="H29" s="24">
        <f>IF(ISNUMBER(SEARCH("TFI",INDEX('Fee Switch-Off'!$C$5:$C$30,MATCH($A29,'Fee Switch-Off'!$A$5:$A$30,0)))),Assumptions!$B$8,Assumptions!$B$7)</f>
        <v>0.7</v>
      </c>
      <c r="I29" s="16">
        <f>INDEX('Quote Summary'!$E$5:$E$30,MATCH($A29,'Quote Summary'!$A$5:$A$30,0))</f>
        <v>0</v>
      </c>
      <c r="J29" s="24">
        <f>Assumptions!$B$9</f>
        <v>0.35</v>
      </c>
      <c r="K29" s="16">
        <f>Assumptions!$B$10</f>
        <v>1.725</v>
      </c>
      <c r="L29" s="24">
        <f>Assumptions!$B$11</f>
        <v>0</v>
      </c>
      <c r="M29" s="33">
        <f>(G29-(H29+J29+I29+L29))/100</f>
        <v>0.0755</v>
      </c>
      <c r="N29" s="17">
        <f>F29*(1-(K29)/100)*(((1+M29)^(E29/12)-1)/((1+M29)^(1/12)-1))*(1+M29)^(1/12)</f>
        <v>12269.922019070982</v>
      </c>
      <c r="O29" s="33">
        <f>(1+RATE(E29,-F29,0,N29,1))^12-1</f>
        <v>0.0417878174105224</v>
      </c>
      <c r="P29" s="34">
        <f>(G29/100-O29)*100</f>
        <v>4.42121825894776</v>
      </c>
      <c r="Q29" s="33">
        <f>(G29-(H29))/100</f>
        <v>0.07899999999999999</v>
      </c>
      <c r="R29" s="17">
        <f>F29*(1-(0)/100)*(((1+Q29)^(E29/12)-1)/((1+Q29)^(1/12)-1))*(1+Q29)^(1/12)</f>
        <v>12507.535551927158</v>
      </c>
      <c r="S29" s="33">
        <f>(1+RATE(E29,-F29,0,R29,1))^12-1</f>
        <v>0.07899999999999241</v>
      </c>
      <c r="T29" s="34">
        <f>(G29/100-S29)*100</f>
        <v>0.7000000000007583</v>
      </c>
      <c r="U29" s="33">
        <f>(G29-(I29))/100</f>
        <v>0.086</v>
      </c>
      <c r="V29" s="17">
        <f>F29*(1-(0)/100)*(((1+U29)^(E29/12)-1)/((1+U29)^(1/12)-1))*(1+U29)^(1/12)</f>
        <v>12551.954971218422</v>
      </c>
      <c r="W29" s="33">
        <f>(1+RATE(E29,-F29,0,V29,1))^12-1</f>
        <v>0.08600000000000052</v>
      </c>
      <c r="X29" s="34">
        <f>(G29/100-W29)*100</f>
        <v>-5.2735593669694936e-14</v>
      </c>
      <c r="Y29" s="33">
        <f>(G29-(J29))/100</f>
        <v>0.08249999999999999</v>
      </c>
      <c r="Z29" s="17">
        <f>F29*(1-(K29)/100)*(((1+Y29)^(E29/12)-1)/((1+Y29)^(1/12)-1))*(1+Y29)^(1/12)</f>
        <v>12313.617772242946</v>
      </c>
      <c r="AA29" s="33">
        <f>(1+RATE(E29,-F29,0,Z29,1))^12-1</f>
        <v>0.0486012530399722</v>
      </c>
      <c r="AB29" s="34">
        <f>(G29/100-AA29)*100</f>
        <v>3.739874696002779</v>
      </c>
      <c r="AC29" s="34">
        <f>T29+X29+AB29</f>
        <v>4.439874696003485</v>
      </c>
      <c r="AD29" s="24">
        <f>IF(AC29=0,0,ROUND(T29*P29/AC29+1E-9,2))</f>
        <v>0.7</v>
      </c>
      <c r="AE29" s="24">
        <f>IF(AC29=0,0,ROUND(X29*P29/AC29+1E-9,2))</f>
        <v>0</v>
      </c>
      <c r="AF29" s="24">
        <f>IF(AC29=0,0,ROUND(AB29*P29/AC29+1E-9,2))</f>
        <v>3.72</v>
      </c>
      <c r="AG29" s="24">
        <v>0</v>
      </c>
      <c r="AH29" s="35">
        <f>ROUND(AD29+AE29+AF29+AG29+1E-9,2)</f>
        <v>4.42</v>
      </c>
    </row>
    <row r="30" spans="1:34" x14ac:dyDescent="0.25">
      <c r="A30" s="13" t="s">
        <v>82</v>
      </c>
      <c r="B30" s="23">
        <v>2</v>
      </c>
      <c r="C30" s="18">
        <f>IF(ROUND(D30/12,0)&gt;10,CHOOSE(B30,1,5,10,ROUND(D30/12,0)),CHOOSE(B30,1,3,5,ROUND(D30/12,0)))</f>
        <v>5</v>
      </c>
      <c r="D30" s="23">
        <v>240</v>
      </c>
      <c r="E30" s="18">
        <f>C30*12</f>
        <v>60</v>
      </c>
      <c r="F30" s="17">
        <f>INDEX('Fee Switch-Off'!$F$5:$F$30,MATCH($A30,'Fee Switch-Off'!$A$5:$A$30,0))</f>
        <v>1000</v>
      </c>
      <c r="G30" s="32">
        <v>8.6</v>
      </c>
      <c r="H30" s="24">
        <f>IF(ISNUMBER(SEARCH("TFI",INDEX('Fee Switch-Off'!$C$5:$C$30,MATCH($A30,'Fee Switch-Off'!$A$5:$A$30,0)))),Assumptions!$B$8,Assumptions!$B$7)</f>
        <v>0.7</v>
      </c>
      <c r="I30" s="16">
        <f>INDEX('Quote Summary'!$E$5:$E$30,MATCH($A30,'Quote Summary'!$A$5:$A$30,0))</f>
        <v>0</v>
      </c>
      <c r="J30" s="24">
        <f>Assumptions!$B$9</f>
        <v>0.35</v>
      </c>
      <c r="K30" s="16">
        <f>Assumptions!$B$10</f>
        <v>1.725</v>
      </c>
      <c r="L30" s="24">
        <f>Assumptions!$B$11</f>
        <v>0</v>
      </c>
      <c r="M30" s="33">
        <f>(G30-(H30+J30+I30+L30))/100</f>
        <v>0.0755</v>
      </c>
      <c r="N30" s="17">
        <f>F30*(1-(K30)/100)*(((1+M30)^(E30/12)-1)/((1+M30)^(1/12)-1))*(1+M30)^(1/12)</f>
        <v>71339.6190970604</v>
      </c>
      <c r="O30" s="33">
        <f>(1+RATE(E30,-F30,0,N30,1))^12-1</f>
        <v>0.06855576426995436</v>
      </c>
      <c r="P30" s="34">
        <f>(G30/100-O30)*100</f>
        <v>1.7444235730045636</v>
      </c>
      <c r="Q30" s="33">
        <f>(G30-(H30))/100</f>
        <v>0.07899999999999999</v>
      </c>
      <c r="R30" s="17">
        <f>F30*(1-(0)/100)*(((1+Q30)^(E30/12)-1)/((1+Q30)^(1/12)-1))*(1+Q30)^(1/12)</f>
        <v>73230.54682308197</v>
      </c>
      <c r="S30" s="33">
        <f>(1+RATE(E30,-F30,0,R30,1))^12-1</f>
        <v>0.07899999999999818</v>
      </c>
      <c r="T30" s="34">
        <f>(G30/100-S30)*100</f>
        <v>0.700000000000181</v>
      </c>
      <c r="U30" s="33">
        <f>(G30-(I30))/100</f>
        <v>0.086</v>
      </c>
      <c r="V30" s="17">
        <f>F30*(1-(0)/100)*(((1+U30)^(E30/12)-1)/((1+U30)^(1/12)-1))*(1+U30)^(1/12)</f>
        <v>74523.40405454655</v>
      </c>
      <c r="W30" s="33">
        <f>(1+RATE(E30,-F30,0,V30,1))^12-1</f>
        <v>0.08600000000000052</v>
      </c>
      <c r="X30" s="34">
        <f>(G30/100-W30)*100</f>
        <v>-5.2735593669694936e-14</v>
      </c>
      <c r="Y30" s="33">
        <f>(G30-(J30))/100</f>
        <v>0.08249999999999999</v>
      </c>
      <c r="Z30" s="17">
        <f>F30*(1-(K30)/100)*(((1+Y30)^(E30/12)-1)/((1+Y30)^(1/12)-1))*(1+Y30)^(1/12)</f>
        <v>72600.06100565981</v>
      </c>
      <c r="AA30" s="33">
        <f>(1+RATE(E30,-F30,0,Z30,1))^12-1</f>
        <v>0.07554529256485698</v>
      </c>
      <c r="AB30" s="34">
        <f>(G30/100-AA30)*100</f>
        <v>1.0454707435143011</v>
      </c>
      <c r="AC30" s="34">
        <f>T30+X30+AB30</f>
        <v>1.7454707435144294</v>
      </c>
      <c r="AD30" s="24">
        <f>IF(AC30=0,0,ROUND(T30*P30/AC30+1E-9,2))</f>
        <v>0.7</v>
      </c>
      <c r="AE30" s="24">
        <f>IF(AC30=0,0,ROUND(X30*P30/AC30+1E-9,2))</f>
        <v>0</v>
      </c>
      <c r="AF30" s="24">
        <f>IF(AC30=0,0,ROUND(AB30*P30/AC30+1E-9,2))</f>
        <v>1.04</v>
      </c>
      <c r="AG30" s="24">
        <v>0</v>
      </c>
      <c r="AH30" s="35">
        <f>ROUND(AD30+AE30+AF30+AG30+1E-9,2)</f>
        <v>1.74</v>
      </c>
    </row>
    <row r="31" spans="1:34" x14ac:dyDescent="0.25">
      <c r="A31" s="13" t="s">
        <v>82</v>
      </c>
      <c r="B31" s="23">
        <v>3</v>
      </c>
      <c r="C31" s="18">
        <f>IF(ROUND(D31/12,0)&gt;10,CHOOSE(B31,1,5,10,ROUND(D31/12,0)),CHOOSE(B31,1,3,5,ROUND(D31/12,0)))</f>
        <v>10</v>
      </c>
      <c r="D31" s="23">
        <v>240</v>
      </c>
      <c r="E31" s="18">
        <f>C31*12</f>
        <v>120</v>
      </c>
      <c r="F31" s="17">
        <f>INDEX('Fee Switch-Off'!$F$5:$F$30,MATCH($A31,'Fee Switch-Off'!$A$5:$A$30,0))</f>
        <v>1000</v>
      </c>
      <c r="G31" s="32">
        <v>8.6</v>
      </c>
      <c r="H31" s="24">
        <f>IF(ISNUMBER(SEARCH("TFI",INDEX('Fee Switch-Off'!$C$5:$C$30,MATCH($A31,'Fee Switch-Off'!$A$5:$A$30,0)))),Assumptions!$B$8,Assumptions!$B$7)</f>
        <v>0.7</v>
      </c>
      <c r="I31" s="16">
        <f>INDEX('Quote Summary'!$E$5:$E$30,MATCH($A31,'Quote Summary'!$A$5:$A$30,0))</f>
        <v>0</v>
      </c>
      <c r="J31" s="24">
        <f>Assumptions!$B$9</f>
        <v>0.35</v>
      </c>
      <c r="K31" s="16">
        <f>Assumptions!$B$10</f>
        <v>1.725</v>
      </c>
      <c r="L31" s="24">
        <f>Assumptions!$B$11</f>
        <v>0</v>
      </c>
      <c r="M31" s="33">
        <f>(G31-(H31+J31+I31+L31))/100</f>
        <v>0.0755</v>
      </c>
      <c r="N31" s="17">
        <f>F31*(1-(K31)/100)*(((1+M31)^(E31/12)-1)/((1+M31)^(1/12)-1))*(1+M31)^(1/12)</f>
        <v>173995.26970579248</v>
      </c>
      <c r="O31" s="33">
        <f>(1+RATE(E31,-F31,0,N31,1))^12-1</f>
        <v>0.07218130291115643</v>
      </c>
      <c r="P31" s="34">
        <f>(G31/100-O31)*100</f>
        <v>1.3818697088843561</v>
      </c>
      <c r="Q31" s="33">
        <f>(G31-(H31))/100</f>
        <v>0.07899999999999999</v>
      </c>
      <c r="R31" s="17">
        <f>F31*(1-(0)/100)*(((1+Q31)^(E31/12)-1)/((1+Q31)^(1/12)-1))*(1+Q31)^(1/12)</f>
        <v>180333.02023743629</v>
      </c>
      <c r="S31" s="33">
        <f>(1+RATE(E31,-F31,0,R31,1))^12-1</f>
        <v>0.07899999999999818</v>
      </c>
      <c r="T31" s="34">
        <f>(G31/100-S31)*100</f>
        <v>0.700000000000181</v>
      </c>
      <c r="U31" s="33">
        <f>(G31-(I31))/100</f>
        <v>0.086</v>
      </c>
      <c r="V31" s="17">
        <f>F31*(1-(0)/100)*(((1+U31)^(E31/12)-1)/((1+U31)^(1/12)-1))*(1+U31)^(1/12)</f>
        <v>187098.36643260738</v>
      </c>
      <c r="W31" s="33">
        <f>(1+RATE(E31,-F31,0,V31,1))^12-1</f>
        <v>0.08600000000000052</v>
      </c>
      <c r="X31" s="34">
        <f>(G31/100-W31)*100</f>
        <v>-5.2735593669694936e-14</v>
      </c>
      <c r="Y31" s="33">
        <f>(G31-(J31))/100</f>
        <v>0.08249999999999999</v>
      </c>
      <c r="Z31" s="17">
        <f>F31*(1-(K31)/100)*(((1+Y31)^(E31/12)-1)/((1+Y31)^(1/12)-1))*(1+Y31)^(1/12)</f>
        <v>180513.74298202348</v>
      </c>
      <c r="AA31" s="33">
        <f>(1+RATE(E31,-F31,0,Z31,1))^12-1</f>
        <v>0.07919063451727903</v>
      </c>
      <c r="AB31" s="34">
        <f>(G31/100-AA31)*100</f>
        <v>0.6809365482720958</v>
      </c>
      <c r="AC31" s="34">
        <f>T31+X31+AB31</f>
        <v>1.3809365482722242</v>
      </c>
      <c r="AD31" s="24">
        <f>IF(AC31=0,0,ROUND(T31*P31/AC31+1E-9,2))</f>
        <v>0.7</v>
      </c>
      <c r="AE31" s="24">
        <f>IF(AC31=0,0,ROUND(X31*P31/AC31+1E-9,2))</f>
        <v>0</v>
      </c>
      <c r="AF31" s="24">
        <f>IF(AC31=0,0,ROUND(AB31*P31/AC31+1E-9,2))</f>
        <v>0.68</v>
      </c>
      <c r="AG31" s="24">
        <v>0</v>
      </c>
      <c r="AH31" s="35">
        <f>ROUND(AD31+AE31+AF31+AG31+1E-9,2)</f>
        <v>1.38</v>
      </c>
    </row>
    <row r="32" spans="1:34" x14ac:dyDescent="0.25">
      <c r="A32" s="13" t="s">
        <v>82</v>
      </c>
      <c r="B32" s="23">
        <v>4</v>
      </c>
      <c r="C32" s="18">
        <f>IF(ROUND(D32/12,0)&gt;10,CHOOSE(B32,1,5,10,ROUND(D32/12,0)),CHOOSE(B32,1,3,5,ROUND(D32/12,0)))</f>
        <v>20</v>
      </c>
      <c r="D32" s="23">
        <v>240</v>
      </c>
      <c r="E32" s="18">
        <f>C32*12</f>
        <v>240</v>
      </c>
      <c r="F32" s="17">
        <f>INDEX('Fee Switch-Off'!$F$5:$F$30,MATCH($A32,'Fee Switch-Off'!$A$5:$A$30,0))</f>
        <v>1000</v>
      </c>
      <c r="G32" s="32">
        <v>8.6</v>
      </c>
      <c r="H32" s="24">
        <f>IF(ISNUMBER(SEARCH("TFI",INDEX('Fee Switch-Off'!$C$5:$C$30,MATCH($A32,'Fee Switch-Off'!$A$5:$A$30,0)))),Assumptions!$B$8,Assumptions!$B$7)</f>
        <v>0.7</v>
      </c>
      <c r="I32" s="16">
        <f>INDEX('Quote Summary'!$E$5:$E$30,MATCH($A32,'Quote Summary'!$A$5:$A$30,0))</f>
        <v>0</v>
      </c>
      <c r="J32" s="24">
        <f>Assumptions!$B$9</f>
        <v>0.35</v>
      </c>
      <c r="K32" s="16">
        <f>Assumptions!$B$10</f>
        <v>1.725</v>
      </c>
      <c r="L32" s="24">
        <f>Assumptions!$B$11</f>
        <v>0</v>
      </c>
      <c r="M32" s="33">
        <f>(G32-(H32+J32+I32+L32))/100</f>
        <v>0.0755</v>
      </c>
      <c r="N32" s="17">
        <f>F32*(1-(K32)/100)*(((1+M32)^(E32/12)-1)/((1+M32)^(1/12)-1))*(1+M32)^(1/12)</f>
        <v>534276.4599240955</v>
      </c>
      <c r="O32" s="33">
        <f>(1+RATE(E32,-F32,0,N32,1))^12-1</f>
        <v>0.07398758344004142</v>
      </c>
      <c r="P32" s="34">
        <f>(G32/100-O32)*100</f>
        <v>1.2012416559958576</v>
      </c>
      <c r="Q32" s="33">
        <f>(G32-(H32))/100</f>
        <v>0.07899999999999999</v>
      </c>
      <c r="R32" s="17">
        <f>F32*(1-(0)/100)*(((1+Q32)^(E32/12)-1)/((1+Q32)^(1/12)-1))*(1+Q32)^(1/12)</f>
        <v>566068.6032885107</v>
      </c>
      <c r="S32" s="33">
        <f>(1+RATE(E32,-F32,0,R32,1))^12-1</f>
        <v>0.07900000000000396</v>
      </c>
      <c r="T32" s="34">
        <f>(G32/100-S32)*100</f>
        <v>0.6999999999996037</v>
      </c>
      <c r="U32" s="33">
        <f>(G32-(I32))/100</f>
        <v>0.086</v>
      </c>
      <c r="V32" s="17">
        <f>F32*(1-(0)/100)*(((1+U32)^(E32/12)-1)/((1+U32)^(1/12)-1))*(1+U32)^(1/12)</f>
        <v>614039.7451269379</v>
      </c>
      <c r="W32" s="33">
        <f>(1+RATE(E32,-F32,0,V32,1))^12-1</f>
        <v>0.08600000000000052</v>
      </c>
      <c r="X32" s="34">
        <f>(G32/100-W32)*100</f>
        <v>-5.2735593669694936e-14</v>
      </c>
      <c r="Y32" s="33">
        <f>(G32-(J32))/100</f>
        <v>0.08249999999999999</v>
      </c>
      <c r="Z32" s="17">
        <f>F32*(1-(K32)/100)*(((1+Y32)^(E32/12)-1)/((1+Y32)^(1/12)-1))*(1+Y32)^(1/12)</f>
        <v>579345.1234502239</v>
      </c>
      <c r="AA32" s="33">
        <f>(1+RATE(E32,-F32,0,Z32,1))^12-1</f>
        <v>0.08100124577386092</v>
      </c>
      <c r="AB32" s="34">
        <f>(G32/100-AA32)*100</f>
        <v>0.4998754226139074</v>
      </c>
      <c r="AC32" s="34">
        <f>T32+X32+AB32</f>
        <v>1.1998754226134585</v>
      </c>
      <c r="AD32" s="24">
        <f>IF(AC32=0,0,ROUND(T32*P32/AC32+1E-9,2))</f>
        <v>0.7</v>
      </c>
      <c r="AE32" s="24">
        <f>IF(AC32=0,0,ROUND(X32*P32/AC32+1E-9,2))</f>
        <v>0</v>
      </c>
      <c r="AF32" s="24">
        <f>IF(AC32=0,0,ROUND(AB32*P32/AC32+1E-9,2))</f>
        <v>0.5</v>
      </c>
      <c r="AG32" s="24">
        <v>0</v>
      </c>
      <c r="AH32" s="35">
        <f>ROUND(AD32+AE32+AF32+AG32+1E-9,2)</f>
        <v>1.2</v>
      </c>
    </row>
    <row r="33" spans="1:34" x14ac:dyDescent="0.25">
      <c r="A33" s="13" t="s">
        <v>84</v>
      </c>
      <c r="B33" s="23">
        <v>1</v>
      </c>
      <c r="C33" s="18">
        <f>IF(ROUND(D33/12,0)&gt;10,CHOOSE(B33,1,5,10,ROUND(D33/12,0)),CHOOSE(B33,1,3,5,ROUND(D33/12,0)))</f>
        <v>1</v>
      </c>
      <c r="D33" s="23">
        <v>180</v>
      </c>
      <c r="E33" s="18">
        <f>C33*12</f>
        <v>12</v>
      </c>
      <c r="F33" s="17">
        <f>INDEX('Fee Switch-Off'!$F$5:$F$30,MATCH($A33,'Fee Switch-Off'!$A$5:$A$30,0))</f>
        <v>2000</v>
      </c>
      <c r="G33" s="32">
        <v>9.05</v>
      </c>
      <c r="H33" s="24">
        <f>IF(ISNUMBER(SEARCH("TFI",INDEX('Fee Switch-Off'!$C$5:$C$30,MATCH($A33,'Fee Switch-Off'!$A$5:$A$30,0)))),Assumptions!$B$8,Assumptions!$B$7)</f>
        <v>0.85</v>
      </c>
      <c r="I33" s="16">
        <f>INDEX('Quote Summary'!$E$5:$E$30,MATCH($A33,'Quote Summary'!$A$5:$A$30,0))</f>
        <v>0</v>
      </c>
      <c r="J33" s="24">
        <f>Assumptions!$B$9</f>
        <v>0.35</v>
      </c>
      <c r="K33" s="16">
        <f>Assumptions!$B$10</f>
        <v>1.725</v>
      </c>
      <c r="L33" s="24">
        <f>Assumptions!$B$11</f>
        <v>0</v>
      </c>
      <c r="M33" s="33">
        <f>(G33-(H33+J33+I33+L33))/100</f>
        <v>0.07850000000000001</v>
      </c>
      <c r="N33" s="17">
        <f>F33*(1-(K33)/100)*(((1+M33)^(E33/12)-1)/((1+M33)^(1/12)-1))*(1+M33)^(1/12)</f>
        <v>24577.318446263216</v>
      </c>
      <c r="O33" s="33">
        <f>(1+RATE(E33,-F33,0,N33,1))^12-1</f>
        <v>0.044707843178733775</v>
      </c>
      <c r="P33" s="34">
        <f>(G33/100-O33)*100</f>
        <v>4.579215682126623</v>
      </c>
      <c r="Q33" s="33">
        <f>(G33-(H33))/100</f>
        <v>0.08200000000000002</v>
      </c>
      <c r="R33" s="17">
        <f>F33*(1-(0)/100)*(((1+Q33)^(E33/12)-1)/((1+Q33)^(1/12)-1))*(1+Q33)^(1/12)</f>
        <v>25053.16606132572</v>
      </c>
      <c r="S33" s="33">
        <f>(1+RATE(E33,-F33,0,R33,1))^12-1</f>
        <v>0.08199999999999474</v>
      </c>
      <c r="T33" s="34">
        <f>(G33/100-S33)*100</f>
        <v>0.8500000000005268</v>
      </c>
      <c r="U33" s="33">
        <f>(G33-(I33))/100</f>
        <v>0.09050000000000001</v>
      </c>
      <c r="V33" s="17">
        <f>F33*(1-(0)/100)*(((1+U33)^(E33/12)-1)/((1+U33)^(1/12)-1))*(1+U33)^(1/12)</f>
        <v>25160.929686749074</v>
      </c>
      <c r="W33" s="33">
        <f>(1+RATE(E33,-F33,0,V33,1))^12-1</f>
        <v>0.0904999999999958</v>
      </c>
      <c r="X33" s="34">
        <f>(G33/100-W33)*100</f>
        <v>4.2049697057677804e-13</v>
      </c>
      <c r="Y33" s="33">
        <f>(G33-(J33))/100</f>
        <v>0.08700000000000001</v>
      </c>
      <c r="Z33" s="17">
        <f>F33*(1-(K33)/100)*(((1+Y33)^(E33/12)-1)/((1+Y33)^(1/12)-1))*(1+Y33)^(1/12)</f>
        <v>24683.32599661532</v>
      </c>
      <c r="AA33" s="33">
        <f>(1+RATE(E33,-F33,0,Z33,1))^12-1</f>
        <v>0.05298139645956401</v>
      </c>
      <c r="AB33" s="34">
        <f>(G33/100-AA33)*100</f>
        <v>3.7518603540436</v>
      </c>
      <c r="AC33" s="34">
        <f>T33+X33+AB33</f>
        <v>4.601860354044547</v>
      </c>
      <c r="AD33" s="24">
        <f>IF(AC33=0,0,ROUND(T33*P33/AC33+1E-9,2))</f>
        <v>0.85</v>
      </c>
      <c r="AE33" s="24">
        <f>IF(AC33=0,0,ROUND(X33*P33/AC33+1E-9,2))</f>
        <v>0</v>
      </c>
      <c r="AF33" s="24">
        <f>IF(AC33=0,0,ROUND(AB33*P33/AC33+1E-9,2))</f>
        <v>3.73</v>
      </c>
      <c r="AG33" s="24">
        <v>0</v>
      </c>
      <c r="AH33" s="35">
        <f>ROUND(AD33+AE33+AF33+AG33+1E-9,2)</f>
        <v>4.58</v>
      </c>
    </row>
    <row r="34" spans="1:34" x14ac:dyDescent="0.25">
      <c r="A34" s="13" t="s">
        <v>84</v>
      </c>
      <c r="B34" s="23">
        <v>2</v>
      </c>
      <c r="C34" s="18">
        <f>IF(ROUND(D34/12,0)&gt;10,CHOOSE(B34,1,5,10,ROUND(D34/12,0)),CHOOSE(B34,1,3,5,ROUND(D34/12,0)))</f>
        <v>5</v>
      </c>
      <c r="D34" s="23">
        <v>180</v>
      </c>
      <c r="E34" s="18">
        <f>C34*12</f>
        <v>60</v>
      </c>
      <c r="F34" s="17">
        <f>INDEX('Fee Switch-Off'!$F$5:$F$30,MATCH($A34,'Fee Switch-Off'!$A$5:$A$30,0))</f>
        <v>2000</v>
      </c>
      <c r="G34" s="32">
        <v>9.05</v>
      </c>
      <c r="H34" s="24">
        <f>IF(ISNUMBER(SEARCH("TFI",INDEX('Fee Switch-Off'!$C$5:$C$30,MATCH($A34,'Fee Switch-Off'!$A$5:$A$30,0)))),Assumptions!$B$8,Assumptions!$B$7)</f>
        <v>0.85</v>
      </c>
      <c r="I34" s="16">
        <f>INDEX('Quote Summary'!$E$5:$E$30,MATCH($A34,'Quote Summary'!$A$5:$A$30,0))</f>
        <v>0</v>
      </c>
      <c r="J34" s="24">
        <f>Assumptions!$B$9</f>
        <v>0.35</v>
      </c>
      <c r="K34" s="16">
        <f>Assumptions!$B$10</f>
        <v>1.725</v>
      </c>
      <c r="L34" s="24">
        <f>Assumptions!$B$11</f>
        <v>0</v>
      </c>
      <c r="M34" s="33">
        <f>(G34-(H34+J34+I34+L34))/100</f>
        <v>0.07850000000000001</v>
      </c>
      <c r="N34" s="17">
        <f>F34*(1-(K34)/100)*(((1+M34)^(E34/12)-1)/((1+M34)^(1/12)-1))*(1+M34)^(1/12)</f>
        <v>143754.68104547355</v>
      </c>
      <c r="O34" s="33">
        <f>(1+RATE(E34,-F34,0,N34,1))^12-1</f>
        <v>0.0715512962394671</v>
      </c>
      <c r="P34" s="34">
        <f>(G34/100-O34)*100</f>
        <v>1.8948703760532912</v>
      </c>
      <c r="Q34" s="33">
        <f>(G34-(H34))/100</f>
        <v>0.08200000000000002</v>
      </c>
      <c r="R34" s="17">
        <f>F34*(1-(0)/100)*(((1+Q34)^(E34/12)-1)/((1+Q34)^(1/12)-1))*(1+Q34)^(1/12)</f>
        <v>147564.2016413571</v>
      </c>
      <c r="S34" s="33">
        <f>(1+RATE(E34,-F34,0,R34,1))^12-1</f>
        <v>0.08199999999999474</v>
      </c>
      <c r="T34" s="34">
        <f>(G34/100-S34)*100</f>
        <v>0.8500000000005268</v>
      </c>
      <c r="U34" s="33">
        <f>(G34-(I34))/100</f>
        <v>0.09050000000000001</v>
      </c>
      <c r="V34" s="17">
        <f>F34*(1-(0)/100)*(((1+U34)^(E34/12)-1)/((1+U34)^(1/12)-1))*(1+U34)^(1/12)</f>
        <v>150730.96926671933</v>
      </c>
      <c r="W34" s="33">
        <f>(1+RATE(E34,-F34,0,V34,1))^12-1</f>
        <v>0.0904999999999958</v>
      </c>
      <c r="X34" s="34">
        <f>(G34/100-W34)*100</f>
        <v>4.2049697057677804e-13</v>
      </c>
      <c r="Y34" s="33">
        <f>(G34-(J34))/100</f>
        <v>0.08700000000000001</v>
      </c>
      <c r="Z34" s="17">
        <f>F34*(1-(K34)/100)*(((1+Y34)^(E34/12)-1)/((1+Y34)^(1/12)-1))*(1+Y34)^(1/12)</f>
        <v>146842.08886775616</v>
      </c>
      <c r="AA34" s="33">
        <f>(1+RATE(E34,-F34,0,Z34,1))^12-1</f>
        <v>0.08003847547779963</v>
      </c>
      <c r="AB34" s="34">
        <f>(G34/100-AA34)*100</f>
        <v>1.046152452220038</v>
      </c>
      <c r="AC34" s="34">
        <f>T34+X34+AB34</f>
        <v>1.8961524522209854</v>
      </c>
      <c r="AD34" s="24">
        <f>IF(AC34=0,0,ROUND(T34*P34/AC34+1E-9,2))</f>
        <v>0.85</v>
      </c>
      <c r="AE34" s="24">
        <f>IF(AC34=0,0,ROUND(X34*P34/AC34+1E-9,2))</f>
        <v>0</v>
      </c>
      <c r="AF34" s="24">
        <f>IF(AC34=0,0,ROUND(AB34*P34/AC34+1E-9,2))</f>
        <v>1.05</v>
      </c>
      <c r="AG34" s="24">
        <v>0</v>
      </c>
      <c r="AH34" s="35">
        <f>ROUND(AD34+AE34+AF34+AG34+1E-9,2)</f>
        <v>1.9</v>
      </c>
    </row>
    <row r="35" spans="1:34" x14ac:dyDescent="0.25">
      <c r="A35" s="13" t="s">
        <v>84</v>
      </c>
      <c r="B35" s="23">
        <v>3</v>
      </c>
      <c r="C35" s="18">
        <f>IF(ROUND(D35/12,0)&gt;10,CHOOSE(B35,1,5,10,ROUND(D35/12,0)),CHOOSE(B35,1,3,5,ROUND(D35/12,0)))</f>
        <v>10</v>
      </c>
      <c r="D35" s="23">
        <v>180</v>
      </c>
      <c r="E35" s="18">
        <f>C35*12</f>
        <v>120</v>
      </c>
      <c r="F35" s="17">
        <f>INDEX('Fee Switch-Off'!$F$5:$F$30,MATCH($A35,'Fee Switch-Off'!$A$5:$A$30,0))</f>
        <v>2000</v>
      </c>
      <c r="G35" s="32">
        <v>9.05</v>
      </c>
      <c r="H35" s="24">
        <f>IF(ISNUMBER(SEARCH("TFI",INDEX('Fee Switch-Off'!$C$5:$C$30,MATCH($A35,'Fee Switch-Off'!$A$5:$A$30,0)))),Assumptions!$B$8,Assumptions!$B$7)</f>
        <v>0.85</v>
      </c>
      <c r="I35" s="16">
        <f>INDEX('Quote Summary'!$E$5:$E$30,MATCH($A35,'Quote Summary'!$A$5:$A$30,0))</f>
        <v>0</v>
      </c>
      <c r="J35" s="24">
        <f>Assumptions!$B$9</f>
        <v>0.35</v>
      </c>
      <c r="K35" s="16">
        <f>Assumptions!$B$10</f>
        <v>1.725</v>
      </c>
      <c r="L35" s="24">
        <f>Assumptions!$B$11</f>
        <v>0</v>
      </c>
      <c r="M35" s="33">
        <f>(G35-(H35+J35+I35+L35))/100</f>
        <v>0.07850000000000001</v>
      </c>
      <c r="N35" s="17">
        <f>F35*(1-(K35)/100)*(((1+M35)^(E35/12)-1)/((1+M35)^(1/12)-1))*(1+M35)^(1/12)</f>
        <v>353514.71401174524</v>
      </c>
      <c r="O35" s="33">
        <f>(1+RATE(E35,-F35,0,N35,1))^12-1</f>
        <v>0.07518536614203963</v>
      </c>
      <c r="P35" s="34">
        <f>(G35/100-O35)*100</f>
        <v>1.5314633857960378</v>
      </c>
      <c r="Q35" s="33">
        <f>(G35-(H35))/100</f>
        <v>0.08200000000000002</v>
      </c>
      <c r="R35" s="17">
        <f>F35*(1-(0)/100)*(((1+Q35)^(E35/12)-1)/((1+Q35)^(1/12)-1))*(1+Q35)^(1/12)</f>
        <v>366399.4702339111</v>
      </c>
      <c r="S35" s="33">
        <f>(1+RATE(E35,-F35,0,R35,1))^12-1</f>
        <v>0.08200000000000052</v>
      </c>
      <c r="T35" s="34">
        <f>(G35/100-S35)*100</f>
        <v>0.8499999999999495</v>
      </c>
      <c r="U35" s="33">
        <f>(G35-(I35))/100</f>
        <v>0.09050000000000001</v>
      </c>
      <c r="V35" s="17">
        <f>F35*(1-(0)/100)*(((1+U35)^(E35/12)-1)/((1+U35)^(1/12)-1))*(1+U35)^(1/12)</f>
        <v>383181.66021282075</v>
      </c>
      <c r="W35" s="33">
        <f>(1+RATE(E35,-F35,0,V35,1))^12-1</f>
        <v>0.0904999999999958</v>
      </c>
      <c r="X35" s="34">
        <f>(G35/100-W35)*100</f>
        <v>4.2049697057677804e-13</v>
      </c>
      <c r="Y35" s="33">
        <f>(G35-(J35))/100</f>
        <v>0.08700000000000001</v>
      </c>
      <c r="Z35" s="17">
        <f>F35*(1-(K35)/100)*(((1+Y35)^(E35/12)-1)/((1+Y35)^(1/12)-1))*(1+Y35)^(1/12)</f>
        <v>369684.71829241345</v>
      </c>
      <c r="AA35" s="33">
        <f>(1+RATE(E35,-F35,0,Z35,1))^12-1</f>
        <v>0.08369635995207325</v>
      </c>
      <c r="AB35" s="34">
        <f>(G35/100-AA35)*100</f>
        <v>0.680364004792676</v>
      </c>
      <c r="AC35" s="34">
        <f>T35+X35+AB35</f>
        <v>1.530364004793046</v>
      </c>
      <c r="AD35" s="24">
        <f>IF(AC35=0,0,ROUND(T35*P35/AC35+1E-9,2))</f>
        <v>0.85</v>
      </c>
      <c r="AE35" s="24">
        <f>IF(AC35=0,0,ROUND(X35*P35/AC35+1E-9,2))</f>
        <v>0</v>
      </c>
      <c r="AF35" s="24">
        <f>IF(AC35=0,0,ROUND(AB35*P35/AC35+1E-9,2))</f>
        <v>0.68</v>
      </c>
      <c r="AG35" s="24">
        <v>0</v>
      </c>
      <c r="AH35" s="35">
        <f>ROUND(AD35+AE35+AF35+AG35+1E-9,2)</f>
        <v>1.53</v>
      </c>
    </row>
    <row r="36" spans="1:34" x14ac:dyDescent="0.25">
      <c r="A36" s="13" t="s">
        <v>84</v>
      </c>
      <c r="B36" s="23">
        <v>4</v>
      </c>
      <c r="C36" s="18">
        <f>IF(ROUND(D36/12,0)&gt;10,CHOOSE(B36,1,5,10,ROUND(D36/12,0)),CHOOSE(B36,1,3,5,ROUND(D36/12,0)))</f>
        <v>15</v>
      </c>
      <c r="D36" s="23">
        <v>180</v>
      </c>
      <c r="E36" s="18">
        <f>C36*12</f>
        <v>180</v>
      </c>
      <c r="F36" s="17">
        <f>INDEX('Fee Switch-Off'!$F$5:$F$30,MATCH($A36,'Fee Switch-Off'!$A$5:$A$30,0))</f>
        <v>2000</v>
      </c>
      <c r="G36" s="32">
        <v>9.05</v>
      </c>
      <c r="H36" s="24">
        <f>IF(ISNUMBER(SEARCH("TFI",INDEX('Fee Switch-Off'!$C$5:$C$30,MATCH($A36,'Fee Switch-Off'!$A$5:$A$30,0)))),Assumptions!$B$8,Assumptions!$B$7)</f>
        <v>0.85</v>
      </c>
      <c r="I36" s="16">
        <f>INDEX('Quote Summary'!$E$5:$E$30,MATCH($A36,'Quote Summary'!$A$5:$A$30,0))</f>
        <v>0</v>
      </c>
      <c r="J36" s="24">
        <f>Assumptions!$B$9</f>
        <v>0.35</v>
      </c>
      <c r="K36" s="16">
        <f>Assumptions!$B$10</f>
        <v>1.725</v>
      </c>
      <c r="L36" s="24">
        <f>Assumptions!$B$11</f>
        <v>0</v>
      </c>
      <c r="M36" s="33">
        <f>(G36-(H36+J36+I36+L36))/100</f>
        <v>0.07850000000000001</v>
      </c>
      <c r="N36" s="17">
        <f>F36*(1-(K36)/100)*(((1+M36)^(E36/12)-1)/((1+M36)^(1/12)-1))*(1+M36)^(1/12)</f>
        <v>659586.6353573409</v>
      </c>
      <c r="O36" s="33">
        <f>(1+RATE(E36,-F36,0,N36,1))^12-1</f>
        <v>0.07639628724362901</v>
      </c>
      <c r="P36" s="34">
        <f>(G36/100-O36)*100</f>
        <v>1.4103712756370999</v>
      </c>
      <c r="Q36" s="33">
        <f>(G36-(H36))/100</f>
        <v>0.08200000000000002</v>
      </c>
      <c r="R36" s="17">
        <f>F36*(1-(0)/100)*(((1+Q36)^(E36/12)-1)/((1+Q36)^(1/12)-1))*(1+Q36)^(1/12)</f>
        <v>690928.5514562345</v>
      </c>
      <c r="S36" s="33">
        <f>(1+RATE(E36,-F36,0,R36,1))^12-1</f>
        <v>0.08200000000000052</v>
      </c>
      <c r="T36" s="34">
        <f>(G36/100-S36)*100</f>
        <v>0.8499999999999495</v>
      </c>
      <c r="U36" s="33">
        <f>(G36-(I36))/100</f>
        <v>0.09050000000000001</v>
      </c>
      <c r="V36" s="17">
        <f>F36*(1-(0)/100)*(((1+U36)^(E36/12)-1)/((1+U36)^(1/12)-1))*(1+U36)^(1/12)</f>
        <v>741656.9223582373</v>
      </c>
      <c r="W36" s="33">
        <f>(1+RATE(E36,-F36,0,V36,1))^12-1</f>
        <v>0.0904999999999958</v>
      </c>
      <c r="X36" s="34">
        <f>(G36/100-W36)*100</f>
        <v>4.2049697057677804e-13</v>
      </c>
      <c r="Y36" s="33">
        <f>(G36-(J36))/100</f>
        <v>0.08700000000000001</v>
      </c>
      <c r="Z36" s="17">
        <f>F36*(1-(K36)/100)*(((1+Y36)^(E36/12)-1)/((1+Y36)^(1/12)-1))*(1+Y36)^(1/12)</f>
        <v>707863.2192371741</v>
      </c>
      <c r="AA36" s="33">
        <f>(1+RATE(E36,-F36,0,Z36,1))^12-1</f>
        <v>0.08491195479043312</v>
      </c>
      <c r="AB36" s="34">
        <f>(G36/100-AA36)*100</f>
        <v>0.5588045209566892</v>
      </c>
      <c r="AC36" s="34">
        <f>T36+X36+AB36</f>
        <v>1.4088045209570592</v>
      </c>
      <c r="AD36" s="24">
        <f>IF(AC36=0,0,ROUND(T36*P36/AC36+1E-9,2))</f>
        <v>0.85</v>
      </c>
      <c r="AE36" s="24">
        <f>IF(AC36=0,0,ROUND(X36*P36/AC36+1E-9,2))</f>
        <v>0</v>
      </c>
      <c r="AF36" s="24">
        <f>IF(AC36=0,0,ROUND(AB36*P36/AC36+1E-9,2))</f>
        <v>0.56</v>
      </c>
      <c r="AG36" s="24">
        <v>0</v>
      </c>
      <c r="AH36" s="35">
        <f>ROUND(AD36+AE36+AF36+AG36+1E-9,2)</f>
        <v>1.41</v>
      </c>
    </row>
    <row r="37" spans="1:34" x14ac:dyDescent="0.25">
      <c r="A37" s="13" t="s">
        <v>86</v>
      </c>
      <c r="B37" s="23">
        <v>1</v>
      </c>
      <c r="C37" s="18">
        <f>IF(ROUND(D37/12,0)&gt;10,CHOOSE(B37,1,5,10,ROUND(D37/12,0)),CHOOSE(B37,1,3,5,ROUND(D37/12,0)))</f>
        <v>1</v>
      </c>
      <c r="D37" s="23">
        <v>240</v>
      </c>
      <c r="E37" s="18">
        <f>C37*12</f>
        <v>12</v>
      </c>
      <c r="F37" s="17">
        <f>INDEX('Fee Switch-Off'!$F$5:$F$30,MATCH($A37,'Fee Switch-Off'!$A$5:$A$30,0))</f>
        <v>2800</v>
      </c>
      <c r="G37" s="32">
        <v>9.5</v>
      </c>
      <c r="H37" s="24">
        <f>IF(ISNUMBER(SEARCH("TFI",INDEX('Fee Switch-Off'!$C$5:$C$30,MATCH($A37,'Fee Switch-Off'!$A$5:$A$30,0)))),Assumptions!$B$8,Assumptions!$B$7)</f>
        <v>0.85</v>
      </c>
      <c r="I37" s="16">
        <f>INDEX('Quote Summary'!$E$5:$E$30,MATCH($A37,'Quote Summary'!$A$5:$A$30,0))</f>
        <v>0</v>
      </c>
      <c r="J37" s="24">
        <f>Assumptions!$B$9</f>
        <v>0.35</v>
      </c>
      <c r="K37" s="16">
        <f>Assumptions!$B$10</f>
        <v>1.725</v>
      </c>
      <c r="L37" s="24">
        <f>Assumptions!$B$11</f>
        <v>0</v>
      </c>
      <c r="M37" s="33">
        <f>(G37-(H37+J37+I37+L37))/100</f>
        <v>0.083</v>
      </c>
      <c r="N37" s="17">
        <f>F37*(1-(K37)/100)*(((1+M37)^(E37/12)-1)/((1+M37)^(1/12)-1))*(1+M37)^(1/12)</f>
        <v>34486.859785782886</v>
      </c>
      <c r="O37" s="33">
        <f>(1+RATE(E37,-F37,0,N37,1))^12-1</f>
        <v>0.04908793265047051</v>
      </c>
      <c r="P37" s="34">
        <f>(G37/100-O37)*100</f>
        <v>4.591206734952949</v>
      </c>
      <c r="Q37" s="33">
        <f>(G37-(H37))/100</f>
        <v>0.0865</v>
      </c>
      <c r="R37" s="17">
        <f>F37*(1-(0)/100)*(((1+Q37)^(E37/12)-1)/((1+Q37)^(1/12)-1))*(1+Q37)^(1/12)</f>
        <v>35154.3485607679</v>
      </c>
      <c r="S37" s="33">
        <f>(1+RATE(E37,-F37,0,R37,1))^12-1</f>
        <v>0.08649999999999047</v>
      </c>
      <c r="T37" s="34">
        <f>(G37/100-S37)*100</f>
        <v>0.8500000000009528</v>
      </c>
      <c r="U37" s="33">
        <f>(G37-(I37))/100</f>
        <v>0.095</v>
      </c>
      <c r="V37" s="17">
        <f>F37*(1-(0)/100)*(((1+U37)^(E37/12)-1)/((1+U37)^(1/12)-1))*(1+U37)^(1/12)</f>
        <v>35305.03029588829</v>
      </c>
      <c r="W37" s="33">
        <f>(1+RATE(E37,-F37,0,V37,1))^12-1</f>
        <v>0.09499999999999909</v>
      </c>
      <c r="X37" s="34">
        <f>(G37/100-W37)*100</f>
        <v>9.159339953157541e-14</v>
      </c>
      <c r="Y37" s="33">
        <f>(G37-(J37))/100</f>
        <v>0.0915</v>
      </c>
      <c r="Z37" s="17">
        <f>F37*(1-(K37)/100)*(((1+Y37)^(E37/12)-1)/((1+Y37)^(1/12)-1))*(1+Y37)^(1/12)</f>
        <v>34635.08535825351</v>
      </c>
      <c r="AA37" s="33">
        <f>(1+RATE(E37,-F37,0,Z37,1))^12-1</f>
        <v>0.05736160024231984</v>
      </c>
      <c r="AB37" s="34">
        <f>(G37/100-AA37)*100</f>
        <v>3.7638399757680157</v>
      </c>
      <c r="AC37" s="34">
        <f>T37+X37+AB37</f>
        <v>4.61383997576906</v>
      </c>
      <c r="AD37" s="24">
        <f>IF(AC37=0,0,ROUND(T37*P37/AC37+1E-9,2))</f>
        <v>0.85</v>
      </c>
      <c r="AE37" s="24">
        <f>IF(AC37=0,0,ROUND(X37*P37/AC37+1E-9,2))</f>
        <v>0</v>
      </c>
      <c r="AF37" s="24">
        <f>IF(AC37=0,0,ROUND(AB37*P37/AC37+1E-9,2))</f>
        <v>3.75</v>
      </c>
      <c r="AG37" s="24">
        <v>0</v>
      </c>
      <c r="AH37" s="35">
        <f>ROUND(AD37+AE37+AF37+AG37+1E-9,2)</f>
        <v>4.6</v>
      </c>
    </row>
    <row r="38" spans="1:34" x14ac:dyDescent="0.25">
      <c r="A38" s="13" t="s">
        <v>86</v>
      </c>
      <c r="B38" s="23">
        <v>2</v>
      </c>
      <c r="C38" s="18">
        <f>IF(ROUND(D38/12,0)&gt;10,CHOOSE(B38,1,5,10,ROUND(D38/12,0)),CHOOSE(B38,1,3,5,ROUND(D38/12,0)))</f>
        <v>5</v>
      </c>
      <c r="D38" s="23">
        <v>240</v>
      </c>
      <c r="E38" s="18">
        <f>C38*12</f>
        <v>60</v>
      </c>
      <c r="F38" s="17">
        <f>INDEX('Fee Switch-Off'!$F$5:$F$30,MATCH($A38,'Fee Switch-Off'!$A$5:$A$30,0))</f>
        <v>2800</v>
      </c>
      <c r="G38" s="32">
        <v>9.5</v>
      </c>
      <c r="H38" s="24">
        <f>IF(ISNUMBER(SEARCH("TFI",INDEX('Fee Switch-Off'!$C$5:$C$30,MATCH($A38,'Fee Switch-Off'!$A$5:$A$30,0)))),Assumptions!$B$8,Assumptions!$B$7)</f>
        <v>0.85</v>
      </c>
      <c r="I38" s="16">
        <f>INDEX('Quote Summary'!$E$5:$E$30,MATCH($A38,'Quote Summary'!$A$5:$A$30,0))</f>
        <v>0</v>
      </c>
      <c r="J38" s="24">
        <f>Assumptions!$B$9</f>
        <v>0.35</v>
      </c>
      <c r="K38" s="16">
        <f>Assumptions!$B$10</f>
        <v>1.725</v>
      </c>
      <c r="L38" s="24">
        <f>Assumptions!$B$11</f>
        <v>0</v>
      </c>
      <c r="M38" s="33">
        <f>(G38-(H38+J38+I38+L38))/100</f>
        <v>0.083</v>
      </c>
      <c r="N38" s="17">
        <f>F38*(1-(K38)/100)*(((1+M38)^(E38/12)-1)/((1+M38)^(1/12)-1))*(1+M38)^(1/12)</f>
        <v>203534.42470069995</v>
      </c>
      <c r="O38" s="33">
        <f>(1+RATE(E38,-F38,0,N38,1))^12-1</f>
        <v>0.07604453839630732</v>
      </c>
      <c r="P38" s="34">
        <f>(G38/100-O38)*100</f>
        <v>1.8955461603692685</v>
      </c>
      <c r="Q38" s="33">
        <f>(G38-(H38))/100</f>
        <v>0.0865</v>
      </c>
      <c r="R38" s="17">
        <f>F38*(1-(0)/100)*(((1+Q38)^(E38/12)-1)/((1+Q38)^(1/12)-1))*(1+Q38)^(1/12)</f>
        <v>208926.32068003275</v>
      </c>
      <c r="S38" s="33">
        <f>(1+RATE(E38,-F38,0,R38,1))^12-1</f>
        <v>0.08650000000000202</v>
      </c>
      <c r="T38" s="34">
        <f>(G38/100-S38)*100</f>
        <v>0.8499999999997981</v>
      </c>
      <c r="U38" s="33">
        <f>(G38-(I38))/100</f>
        <v>0.095</v>
      </c>
      <c r="V38" s="17">
        <f>F38*(1-(0)/100)*(((1+U38)^(E38/12)-1)/((1+U38)^(1/12)-1))*(1+U38)^(1/12)</f>
        <v>213405.43311327155</v>
      </c>
      <c r="W38" s="33">
        <f>(1+RATE(E38,-F38,0,V38,1))^12-1</f>
        <v>0.09499999999999909</v>
      </c>
      <c r="X38" s="34">
        <f>(G38/100-W38)*100</f>
        <v>9.159339953157541e-14</v>
      </c>
      <c r="Y38" s="33">
        <f>(G38-(J38))/100</f>
        <v>0.0915</v>
      </c>
      <c r="Z38" s="17">
        <f>F38*(1-(K38)/100)*(((1+Y38)^(E38/12)-1)/((1+Y38)^(1/12)-1))*(1+Y38)^(1/12)</f>
        <v>207901.35647836918</v>
      </c>
      <c r="AA38" s="33">
        <f>(1+RATE(E38,-F38,0,Z38,1))^12-1</f>
        <v>0.08453159209247052</v>
      </c>
      <c r="AB38" s="34">
        <f>(G38/100-AA38)*100</f>
        <v>1.046840790752948</v>
      </c>
      <c r="AC38" s="34">
        <f>T38+X38+AB38</f>
        <v>1.8968407907528377</v>
      </c>
      <c r="AD38" s="24">
        <f>IF(AC38=0,0,ROUND(T38*P38/AC38+1E-9,2))</f>
        <v>0.85</v>
      </c>
      <c r="AE38" s="24">
        <f>IF(AC38=0,0,ROUND(X38*P38/AC38+1E-9,2))</f>
        <v>0</v>
      </c>
      <c r="AF38" s="24">
        <f>IF(AC38=0,0,ROUND(AB38*P38/AC38+1E-9,2))</f>
        <v>1.05</v>
      </c>
      <c r="AG38" s="24">
        <v>0</v>
      </c>
      <c r="AH38" s="35">
        <f>ROUND(AD38+AE38+AF38+AG38+1E-9,2)</f>
        <v>1.9</v>
      </c>
    </row>
    <row r="39" spans="1:34" x14ac:dyDescent="0.25">
      <c r="A39" s="13" t="s">
        <v>86</v>
      </c>
      <c r="B39" s="23">
        <v>3</v>
      </c>
      <c r="C39" s="18">
        <f>IF(ROUND(D39/12,0)&gt;10,CHOOSE(B39,1,5,10,ROUND(D39/12,0)),CHOOSE(B39,1,3,5,ROUND(D39/12,0)))</f>
        <v>10</v>
      </c>
      <c r="D39" s="23">
        <v>240</v>
      </c>
      <c r="E39" s="18">
        <f>C39*12</f>
        <v>120</v>
      </c>
      <c r="F39" s="17">
        <f>INDEX('Fee Switch-Off'!$F$5:$F$30,MATCH($A39,'Fee Switch-Off'!$A$5:$A$30,0))</f>
        <v>2800</v>
      </c>
      <c r="G39" s="32">
        <v>9.5</v>
      </c>
      <c r="H39" s="24">
        <f>IF(ISNUMBER(SEARCH("TFI",INDEX('Fee Switch-Off'!$C$5:$C$30,MATCH($A39,'Fee Switch-Off'!$A$5:$A$30,0)))),Assumptions!$B$8,Assumptions!$B$7)</f>
        <v>0.85</v>
      </c>
      <c r="I39" s="16">
        <f>INDEX('Quote Summary'!$E$5:$E$30,MATCH($A39,'Quote Summary'!$A$5:$A$30,0))</f>
        <v>0</v>
      </c>
      <c r="J39" s="24">
        <f>Assumptions!$B$9</f>
        <v>0.35</v>
      </c>
      <c r="K39" s="16">
        <f>Assumptions!$B$10</f>
        <v>1.725</v>
      </c>
      <c r="L39" s="24">
        <f>Assumptions!$B$11</f>
        <v>0</v>
      </c>
      <c r="M39" s="33">
        <f>(G39-(H39+J39+I39+L39))/100</f>
        <v>0.083</v>
      </c>
      <c r="N39" s="17">
        <f>F39*(1-(K39)/100)*(((1+M39)^(E39/12)-1)/((1+M39)^(1/12)-1))*(1+M39)^(1/12)</f>
        <v>506770.0042914657</v>
      </c>
      <c r="O39" s="33">
        <f>(1+RATE(E39,-F39,0,N39,1))^12-1</f>
        <v>0.07969128116254032</v>
      </c>
      <c r="P39" s="34">
        <f>(G39/100-O39)*100</f>
        <v>1.5308718837459683</v>
      </c>
      <c r="Q39" s="33">
        <f>(G39-(H39))/100</f>
        <v>0.0865</v>
      </c>
      <c r="R39" s="17">
        <f>F39*(1-(0)/100)*(((1+Q39)^(E39/12)-1)/((1+Q39)^(1/12)-1))*(1+Q39)^(1/12)</f>
        <v>525257.360860946</v>
      </c>
      <c r="S39" s="33">
        <f>(1+RATE(E39,-F39,0,R39,1))^12-1</f>
        <v>0.08649999999999625</v>
      </c>
      <c r="T39" s="34">
        <f>(G39/100-S39)*100</f>
        <v>0.8500000000003755</v>
      </c>
      <c r="U39" s="33">
        <f>(G39-(I39))/100</f>
        <v>0.095</v>
      </c>
      <c r="V39" s="17">
        <f>F39*(1-(0)/100)*(((1+U39)^(E39/12)-1)/((1+U39)^(1/12)-1))*(1+U39)^(1/12)</f>
        <v>549356.5334460615</v>
      </c>
      <c r="W39" s="33">
        <f>(1+RATE(E39,-F39,0,V39,1))^12-1</f>
        <v>0.09499999999999909</v>
      </c>
      <c r="X39" s="34">
        <f>(G39/100-W39)*100</f>
        <v>9.159339953157541e-14</v>
      </c>
      <c r="Y39" s="33">
        <f>(G39-(J39))/100</f>
        <v>0.0915</v>
      </c>
      <c r="Z39" s="17">
        <f>F39*(1-(K39)/100)*(((1+Y39)^(E39/12)-1)/((1+Y39)^(1/12)-1))*(1+Y39)^(1/12)</f>
        <v>529990.453002108</v>
      </c>
      <c r="AA39" s="33">
        <f>(1+RATE(E39,-F39,0,Z39,1))^12-1</f>
        <v>0.0882018749339688</v>
      </c>
      <c r="AB39" s="34">
        <f>(G39/100-AA39)*100</f>
        <v>0.6798125066031196</v>
      </c>
      <c r="AC39" s="34">
        <f>T39+X39+AB39</f>
        <v>1.5298125066035868</v>
      </c>
      <c r="AD39" s="24">
        <f>IF(AC39=0,0,ROUND(T39*P39/AC39+1E-9,2))</f>
        <v>0.85</v>
      </c>
      <c r="AE39" s="24">
        <f>IF(AC39=0,0,ROUND(X39*P39/AC39+1E-9,2))</f>
        <v>0</v>
      </c>
      <c r="AF39" s="24">
        <f>IF(AC39=0,0,ROUND(AB39*P39/AC39+1E-9,2))</f>
        <v>0.68</v>
      </c>
      <c r="AG39" s="24">
        <v>0</v>
      </c>
      <c r="AH39" s="35">
        <f>ROUND(AD39+AE39+AF39+AG39+1E-9,2)</f>
        <v>1.53</v>
      </c>
    </row>
    <row r="40" spans="1:34" x14ac:dyDescent="0.25">
      <c r="A40" s="13" t="s">
        <v>86</v>
      </c>
      <c r="B40" s="23">
        <v>4</v>
      </c>
      <c r="C40" s="18">
        <f>IF(ROUND(D40/12,0)&gt;10,CHOOSE(B40,1,5,10,ROUND(D40/12,0)),CHOOSE(B40,1,3,5,ROUND(D40/12,0)))</f>
        <v>20</v>
      </c>
      <c r="D40" s="23">
        <v>240</v>
      </c>
      <c r="E40" s="18">
        <f>C40*12</f>
        <v>240</v>
      </c>
      <c r="F40" s="17">
        <f>INDEX('Fee Switch-Off'!$F$5:$F$30,MATCH($A40,'Fee Switch-Off'!$A$5:$A$30,0))</f>
        <v>2800</v>
      </c>
      <c r="G40" s="32">
        <v>9.5</v>
      </c>
      <c r="H40" s="24">
        <f>IF(ISNUMBER(SEARCH("TFI",INDEX('Fee Switch-Off'!$C$5:$C$30,MATCH($A40,'Fee Switch-Off'!$A$5:$A$30,0)))),Assumptions!$B$8,Assumptions!$B$7)</f>
        <v>0.85</v>
      </c>
      <c r="I40" s="16">
        <f>INDEX('Quote Summary'!$E$5:$E$30,MATCH($A40,'Quote Summary'!$A$5:$A$30,0))</f>
        <v>0</v>
      </c>
      <c r="J40" s="24">
        <f>Assumptions!$B$9</f>
        <v>0.35</v>
      </c>
      <c r="K40" s="16">
        <f>Assumptions!$B$10</f>
        <v>1.725</v>
      </c>
      <c r="L40" s="24">
        <f>Assumptions!$B$11</f>
        <v>0</v>
      </c>
      <c r="M40" s="33">
        <f>(G40-(H40+J40+I40+L40))/100</f>
        <v>0.083</v>
      </c>
      <c r="N40" s="17">
        <f>F40*(1-(K40)/100)*(((1+M40)^(E40/12)-1)/((1+M40)^(1/12)-1))*(1+M40)^(1/12)</f>
        <v>1631622.2179843732</v>
      </c>
      <c r="O40" s="33">
        <f>(1+RATE(E40,-F40,0,N40,1))^12-1</f>
        <v>0.08150218340615423</v>
      </c>
      <c r="P40" s="34">
        <f>(G40/100-O40)*100</f>
        <v>1.3497816593845773</v>
      </c>
      <c r="Q40" s="33">
        <f>(G40-(H40))/100</f>
        <v>0.0865</v>
      </c>
      <c r="R40" s="17">
        <f>F40*(1-(0)/100)*(((1+Q40)^(E40/12)-1)/((1+Q40)^(1/12)-1))*(1+Q40)^(1/12)</f>
        <v>1729376.4843921964</v>
      </c>
      <c r="S40" s="33">
        <f>(1+RATE(E40,-F40,0,R40,1))^12-1</f>
        <v>0.08649999999999625</v>
      </c>
      <c r="T40" s="34">
        <f>(G40/100-S40)*100</f>
        <v>0.8500000000003755</v>
      </c>
      <c r="U40" s="33">
        <f>(G40-(I40))/100</f>
        <v>0.095</v>
      </c>
      <c r="V40" s="17">
        <f>F40*(1-(0)/100)*(((1+U40)^(E40/12)-1)/((1+U40)^(1/12)-1))*(1+U40)^(1/12)</f>
        <v>1910787.0642659974</v>
      </c>
      <c r="W40" s="33">
        <f>(1+RATE(E40,-F40,0,V40,1))^12-1</f>
        <v>0.09499999999999909</v>
      </c>
      <c r="X40" s="34">
        <f>(G40/100-W40)*100</f>
        <v>9.159339953157541e-14</v>
      </c>
      <c r="Y40" s="33">
        <f>(G40-(J40))/100</f>
        <v>0.0915</v>
      </c>
      <c r="Z40" s="17">
        <f>F40*(1-(K40)/100)*(((1+Y40)^(E40/12)-1)/((1+Y40)^(1/12)-1))*(1+Y40)^(1/12)</f>
        <v>1802044.1571603024</v>
      </c>
      <c r="AA40" s="33">
        <f>(1+RATE(E40,-F40,0,Z40,1))^12-1</f>
        <v>0.09001737157427092</v>
      </c>
      <c r="AB40" s="34">
        <f>(G40/100-AA40)*100</f>
        <v>0.498262842572908</v>
      </c>
      <c r="AC40" s="34">
        <f>T40+X40+AB40</f>
        <v>1.3482628425733751</v>
      </c>
      <c r="AD40" s="24">
        <f>IF(AC40=0,0,ROUND(T40*P40/AC40+1E-9,2))</f>
        <v>0.85</v>
      </c>
      <c r="AE40" s="24">
        <f>IF(AC40=0,0,ROUND(X40*P40/AC40+1E-9,2))</f>
        <v>0</v>
      </c>
      <c r="AF40" s="24">
        <f>IF(AC40=0,0,ROUND(AB40*P40/AC40+1E-9,2))</f>
        <v>0.5</v>
      </c>
      <c r="AG40" s="24">
        <v>0</v>
      </c>
      <c r="AH40" s="35">
        <f>ROUND(AD40+AE40+AF40+AG40+1E-9,2)</f>
        <v>1.35</v>
      </c>
    </row>
    <row r="41" spans="1:34" x14ac:dyDescent="0.25">
      <c r="A41" s="13" t="s">
        <v>88</v>
      </c>
      <c r="B41" s="23">
        <v>1</v>
      </c>
      <c r="C41" s="18">
        <f>IF(ROUND(D41/12,0)&gt;10,CHOOSE(B41,1,5,10,ROUND(D41/12,0)),CHOOSE(B41,1,3,5,ROUND(D41/12,0)))</f>
        <v>1</v>
      </c>
      <c r="D41" s="23">
        <v>300</v>
      </c>
      <c r="E41" s="18">
        <f>C41*12</f>
        <v>12</v>
      </c>
      <c r="F41" s="17">
        <f>INDEX('Fee Switch-Off'!$F$5:$F$30,MATCH($A41,'Fee Switch-Off'!$A$5:$A$30,0))</f>
        <v>1800</v>
      </c>
      <c r="G41" s="32">
        <v>9.95</v>
      </c>
      <c r="H41" s="24">
        <f>IF(ISNUMBER(SEARCH("TFI",INDEX('Fee Switch-Off'!$C$5:$C$30,MATCH($A41,'Fee Switch-Off'!$A$5:$A$30,0)))),Assumptions!$B$8,Assumptions!$B$7)</f>
        <v>0.7</v>
      </c>
      <c r="I41" s="16">
        <f>INDEX('Quote Summary'!$E$5:$E$30,MATCH($A41,'Quote Summary'!$A$5:$A$30,0))</f>
        <v>0</v>
      </c>
      <c r="J41" s="24">
        <f>Assumptions!$B$9</f>
        <v>0.35</v>
      </c>
      <c r="K41" s="16">
        <f>Assumptions!$B$10</f>
        <v>1.725</v>
      </c>
      <c r="L41" s="24">
        <f>Assumptions!$B$11</f>
        <v>0</v>
      </c>
      <c r="M41" s="33">
        <f>(G41-(H41+J41+I41+L41))/100</f>
        <v>0.089</v>
      </c>
      <c r="N41" s="17">
        <f>F41*(1-(K41)/100)*(((1+M41)^(E41/12)-1)/((1+M41)^(1/12)-1))*(1+M41)^(1/12)</f>
        <v>22237.409400593984</v>
      </c>
      <c r="O41" s="33">
        <f>(1+RATE(E41,-F41,0,N41,1))^12-1</f>
        <v>0.05492814626464271</v>
      </c>
      <c r="P41" s="34">
        <f>(G41/100-O41)*100</f>
        <v>4.4571853735357285</v>
      </c>
      <c r="Q41" s="33">
        <f>(G41-(H41))/100</f>
        <v>0.0925</v>
      </c>
      <c r="R41" s="17">
        <f>F41*(1-(0)/100)*(((1+Q41)^(E41/12)-1)/((1+Q41)^(1/12)-1))*(1+Q41)^(1/12)</f>
        <v>22667.624182992797</v>
      </c>
      <c r="S41" s="33">
        <f>(1+RATE(E41,-F41,0,R41,1))^12-1</f>
        <v>0.09250000000000314</v>
      </c>
      <c r="T41" s="34">
        <f>(G41/100-S41)*100</f>
        <v>0.6999999999996855</v>
      </c>
      <c r="U41" s="33">
        <f>(G41-(I41))/100</f>
        <v>0.09949999999999999</v>
      </c>
      <c r="V41" s="17">
        <f>F41*(1-(0)/100)*(((1+U41)^(E41/12)-1)/((1+U41)^(1/12)-1))*(1+U41)^(1/12)</f>
        <v>22747.28189790011</v>
      </c>
      <c r="W41" s="33">
        <f>(1+RATE(E41,-F41,0,V41,1))^12-1</f>
        <v>0.0994999999999977</v>
      </c>
      <c r="X41" s="34">
        <f>(G41/100-W41)*100</f>
        <v>2.2898349882893854e-13</v>
      </c>
      <c r="Y41" s="33">
        <f>(G41-(J41))/100</f>
        <v>0.09599999999999999</v>
      </c>
      <c r="Z41" s="17">
        <f>F41*(1-(K41)/100)*(((1+Y41)^(E41/12)-1)/((1+Y41)^(1/12)-1))*(1+Y41)^(1/12)</f>
        <v>22315.76823405682</v>
      </c>
      <c r="AA41" s="33">
        <f>(1+RATE(E41,-F41,0,Z41,1))^12-1</f>
        <v>0.06174186404405946</v>
      </c>
      <c r="AB41" s="34">
        <f>(G41/100-AA41)*100</f>
        <v>3.7758135955940535</v>
      </c>
      <c r="AC41" s="34">
        <f>T41+X41+AB41</f>
        <v>4.4758135955939675</v>
      </c>
      <c r="AD41" s="24">
        <f>IF(AC41=0,0,ROUND(T41*P41/AC41+1E-9,2))</f>
        <v>0.7</v>
      </c>
      <c r="AE41" s="24">
        <f>IF(AC41=0,0,ROUND(X41*P41/AC41+1E-9,2))</f>
        <v>0</v>
      </c>
      <c r="AF41" s="24">
        <f>IF(AC41=0,0,ROUND(AB41*P41/AC41+1E-9,2))</f>
        <v>3.76</v>
      </c>
      <c r="AG41" s="24">
        <v>0</v>
      </c>
      <c r="AH41" s="35">
        <f>ROUND(AD41+AE41+AF41+AG41+1E-9,2)</f>
        <v>4.46</v>
      </c>
    </row>
    <row r="42" spans="1:34" x14ac:dyDescent="0.25">
      <c r="A42" s="13" t="s">
        <v>88</v>
      </c>
      <c r="B42" s="23">
        <v>2</v>
      </c>
      <c r="C42" s="18">
        <f>IF(ROUND(D42/12,0)&gt;10,CHOOSE(B42,1,5,10,ROUND(D42/12,0)),CHOOSE(B42,1,3,5,ROUND(D42/12,0)))</f>
        <v>5</v>
      </c>
      <c r="D42" s="23">
        <v>300</v>
      </c>
      <c r="E42" s="18">
        <f>C42*12</f>
        <v>60</v>
      </c>
      <c r="F42" s="17">
        <f>INDEX('Fee Switch-Off'!$F$5:$F$30,MATCH($A42,'Fee Switch-Off'!$A$5:$A$30,0))</f>
        <v>1800</v>
      </c>
      <c r="G42" s="32">
        <v>9.95</v>
      </c>
      <c r="H42" s="24">
        <f>IF(ISNUMBER(SEARCH("TFI",INDEX('Fee Switch-Off'!$C$5:$C$30,MATCH($A42,'Fee Switch-Off'!$A$5:$A$30,0)))),Assumptions!$B$8,Assumptions!$B$7)</f>
        <v>0.7</v>
      </c>
      <c r="I42" s="16">
        <f>INDEX('Quote Summary'!$E$5:$E$30,MATCH($A42,'Quote Summary'!$A$5:$A$30,0))</f>
        <v>0</v>
      </c>
      <c r="J42" s="24">
        <f>Assumptions!$B$9</f>
        <v>0.35</v>
      </c>
      <c r="K42" s="16">
        <f>Assumptions!$B$10</f>
        <v>1.725</v>
      </c>
      <c r="L42" s="24">
        <f>Assumptions!$B$11</f>
        <v>0</v>
      </c>
      <c r="M42" s="33">
        <f>(G42-(H42+J42+I42+L42))/100</f>
        <v>0.089</v>
      </c>
      <c r="N42" s="17">
        <f>F42*(1-(K42)/100)*(((1+M42)^(E42/12)-1)/((1+M42)^(1/12)-1))*(1+M42)^(1/12)</f>
        <v>132819.54521435808</v>
      </c>
      <c r="O42" s="33">
        <f>(1+RATE(E42,-F42,0,N42,1))^12-1</f>
        <v>0.08203542435820355</v>
      </c>
      <c r="P42" s="34">
        <f>(G42/100-O42)*100</f>
        <v>1.7464575641796445</v>
      </c>
      <c r="Q42" s="33">
        <f>(G42-(H42))/100</f>
        <v>0.0925</v>
      </c>
      <c r="R42" s="17">
        <f>F42*(1-(0)/100)*(((1+Q42)^(E42/12)-1)/((1+Q42)^(1/12)-1))*(1+Q42)^(1/12)</f>
        <v>136336.53317185413</v>
      </c>
      <c r="S42" s="33">
        <f>(1+RATE(E42,-F42,0,R42,1))^12-1</f>
        <v>0.09250000000000314</v>
      </c>
      <c r="T42" s="34">
        <f>(G42/100-S42)*100</f>
        <v>0.6999999999996855</v>
      </c>
      <c r="U42" s="33">
        <f>(G42-(I42))/100</f>
        <v>0.09949999999999999</v>
      </c>
      <c r="V42" s="17">
        <f>F42*(1-(0)/100)*(((1+U42)^(E42/12)-1)/((1+U42)^(1/12)-1))*(1+U42)^(1/12)</f>
        <v>138736.26120706843</v>
      </c>
      <c r="W42" s="33">
        <f>(1+RATE(E42,-F42,0,V42,1))^12-1</f>
        <v>0.0994999999999977</v>
      </c>
      <c r="X42" s="34">
        <f>(G42/100-W42)*100</f>
        <v>2.2898349882893854e-13</v>
      </c>
      <c r="Y42" s="33">
        <f>(G42-(J42))/100</f>
        <v>0.09599999999999999</v>
      </c>
      <c r="Z42" s="17">
        <f>F42*(1-(K42)/100)*(((1+Y42)^(E42/12)-1)/((1+Y42)^(1/12)-1))*(1+Y42)^(1/12)</f>
        <v>135159.21307514916</v>
      </c>
      <c r="AA42" s="33">
        <f>(1+RATE(E42,-F42,0,Z42,1))^12-1</f>
        <v>0.08902464278351485</v>
      </c>
      <c r="AB42" s="34">
        <f>(G42/100-AA42)*100</f>
        <v>1.047535721648514</v>
      </c>
      <c r="AC42" s="34">
        <f>T42+X42+AB42</f>
        <v>1.7475357216484284</v>
      </c>
      <c r="AD42" s="24">
        <f>IF(AC42=0,0,ROUND(T42*P42/AC42+1E-9,2))</f>
        <v>0.7</v>
      </c>
      <c r="AE42" s="24">
        <f>IF(AC42=0,0,ROUND(X42*P42/AC42+1E-9,2))</f>
        <v>0</v>
      </c>
      <c r="AF42" s="24">
        <f>IF(AC42=0,0,ROUND(AB42*P42/AC42+1E-9,2))</f>
        <v>1.05</v>
      </c>
      <c r="AG42" s="24">
        <v>0</v>
      </c>
      <c r="AH42" s="35">
        <f>ROUND(AD42+AE42+AF42+AG42+1E-9,2)</f>
        <v>1.75</v>
      </c>
    </row>
    <row r="43" spans="1:34" x14ac:dyDescent="0.25">
      <c r="A43" s="13" t="s">
        <v>88</v>
      </c>
      <c r="B43" s="23">
        <v>3</v>
      </c>
      <c r="C43" s="18">
        <f>IF(ROUND(D43/12,0)&gt;10,CHOOSE(B43,1,5,10,ROUND(D43/12,0)),CHOOSE(B43,1,3,5,ROUND(D43/12,0)))</f>
        <v>10</v>
      </c>
      <c r="D43" s="23">
        <v>300</v>
      </c>
      <c r="E43" s="18">
        <f>C43*12</f>
        <v>120</v>
      </c>
      <c r="F43" s="17">
        <f>INDEX('Fee Switch-Off'!$F$5:$F$30,MATCH($A43,'Fee Switch-Off'!$A$5:$A$30,0))</f>
        <v>1800</v>
      </c>
      <c r="G43" s="32">
        <v>9.95</v>
      </c>
      <c r="H43" s="24">
        <f>IF(ISNUMBER(SEARCH("TFI",INDEX('Fee Switch-Off'!$C$5:$C$30,MATCH($A43,'Fee Switch-Off'!$A$5:$A$30,0)))),Assumptions!$B$8,Assumptions!$B$7)</f>
        <v>0.7</v>
      </c>
      <c r="I43" s="16">
        <f>INDEX('Quote Summary'!$E$5:$E$30,MATCH($A43,'Quote Summary'!$A$5:$A$30,0))</f>
        <v>0</v>
      </c>
      <c r="J43" s="24">
        <f>Assumptions!$B$9</f>
        <v>0.35</v>
      </c>
      <c r="K43" s="16">
        <f>Assumptions!$B$10</f>
        <v>1.725</v>
      </c>
      <c r="L43" s="24">
        <f>Assumptions!$B$11</f>
        <v>0</v>
      </c>
      <c r="M43" s="33">
        <f>(G43-(H43+J43+I43+L43))/100</f>
        <v>0.089</v>
      </c>
      <c r="N43" s="17">
        <f>F43*(1-(K43)/100)*(((1+M43)^(E43/12)-1)/((1+M43)^(1/12)-1))*(1+M43)^(1/12)</f>
        <v>336243.16949705064</v>
      </c>
      <c r="O43" s="33">
        <f>(1+RATE(E43,-F43,0,N43,1))^12-1</f>
        <v>0.0856988368592615</v>
      </c>
      <c r="P43" s="34">
        <f>(G43/100-O43)*100</f>
        <v>1.3801163140738495</v>
      </c>
      <c r="Q43" s="33">
        <f>(G43-(H43))/100</f>
        <v>0.0925</v>
      </c>
      <c r="R43" s="17">
        <f>F43*(1-(0)/100)*(((1+Q43)^(E43/12)-1)/((1+Q43)^(1/12)-1))*(1+Q43)^(1/12)</f>
        <v>348523.8761494455</v>
      </c>
      <c r="S43" s="33">
        <f>(1+RATE(E43,-F43,0,R43,1))^12-1</f>
        <v>0.09250000000000314</v>
      </c>
      <c r="T43" s="34">
        <f>(G43/100-S43)*100</f>
        <v>0.6999999999996855</v>
      </c>
      <c r="U43" s="33">
        <f>(G43-(I43))/100</f>
        <v>0.09949999999999999</v>
      </c>
      <c r="V43" s="17">
        <f>F43*(1-(0)/100)*(((1+U43)^(E43/12)-1)/((1+U43)^(1/12)-1))*(1+U43)^(1/12)</f>
        <v>361665.0492787</v>
      </c>
      <c r="W43" s="33">
        <f>(1+RATE(E43,-F43,0,V43,1))^12-1</f>
        <v>0.0994999999999977</v>
      </c>
      <c r="X43" s="34">
        <f>(G43/100-W43)*100</f>
        <v>2.2898349882893854e-13</v>
      </c>
      <c r="Y43" s="33">
        <f>(G43-(J43))/100</f>
        <v>0.09599999999999999</v>
      </c>
      <c r="Z43" s="17">
        <f>F43*(1-(K43)/100)*(((1+Y43)^(E43/12)-1)/((1+Y43)^(1/12)-1))*(1+Y43)^(1/12)</f>
        <v>348905.4242764281</v>
      </c>
      <c r="AA43" s="33">
        <f>(1+RATE(E43,-F43,0,Z43,1))^12-1</f>
        <v>0.09270718244705045</v>
      </c>
      <c r="AB43" s="34">
        <f>(G43/100-AA43)*100</f>
        <v>0.6792817552949539</v>
      </c>
      <c r="AC43" s="34">
        <f>T43+X43+AB43</f>
        <v>1.3792817552948684</v>
      </c>
      <c r="AD43" s="24">
        <f>IF(AC43=0,0,ROUND(T43*P43/AC43+1E-9,2))</f>
        <v>0.7</v>
      </c>
      <c r="AE43" s="24">
        <f>IF(AC43=0,0,ROUND(X43*P43/AC43+1E-9,2))</f>
        <v>0</v>
      </c>
      <c r="AF43" s="24">
        <f>IF(AC43=0,0,ROUND(AB43*P43/AC43+1E-9,2))</f>
        <v>0.68</v>
      </c>
      <c r="AG43" s="24">
        <v>0</v>
      </c>
      <c r="AH43" s="35">
        <f>ROUND(AD43+AE43+AF43+AG43+1E-9,2)</f>
        <v>1.38</v>
      </c>
    </row>
    <row r="44" spans="1:34" x14ac:dyDescent="0.25">
      <c r="A44" s="13" t="s">
        <v>88</v>
      </c>
      <c r="B44" s="23">
        <v>4</v>
      </c>
      <c r="C44" s="18">
        <f>IF(ROUND(D44/12,0)&gt;10,CHOOSE(B44,1,5,10,ROUND(D44/12,0)),CHOOSE(B44,1,3,5,ROUND(D44/12,0)))</f>
        <v>25</v>
      </c>
      <c r="D44" s="23">
        <v>300</v>
      </c>
      <c r="E44" s="18">
        <f>C44*12</f>
        <v>300</v>
      </c>
      <c r="F44" s="17">
        <f>INDEX('Fee Switch-Off'!$F$5:$F$30,MATCH($A44,'Fee Switch-Off'!$A$5:$A$30,0))</f>
        <v>1800</v>
      </c>
      <c r="G44" s="32">
        <v>9.95</v>
      </c>
      <c r="H44" s="24">
        <f>IF(ISNUMBER(SEARCH("TFI",INDEX('Fee Switch-Off'!$C$5:$C$30,MATCH($A44,'Fee Switch-Off'!$A$5:$A$30,0)))),Assumptions!$B$8,Assumptions!$B$7)</f>
        <v>0.7</v>
      </c>
      <c r="I44" s="16">
        <f>INDEX('Quote Summary'!$E$5:$E$30,MATCH($A44,'Quote Summary'!$A$5:$A$30,0))</f>
        <v>0</v>
      </c>
      <c r="J44" s="24">
        <f>Assumptions!$B$9</f>
        <v>0.35</v>
      </c>
      <c r="K44" s="16">
        <f>Assumptions!$B$10</f>
        <v>1.725</v>
      </c>
      <c r="L44" s="24">
        <f>Assumptions!$B$11</f>
        <v>0</v>
      </c>
      <c r="M44" s="33">
        <f>(G44-(H44+J44+I44+L44))/100</f>
        <v>0.089</v>
      </c>
      <c r="N44" s="17">
        <f>F44*(1-(K44)/100)*(((1+M44)^(E44/12)-1)/((1+M44)^(1/12)-1))*(1+M44)^(1/12)</f>
        <v>1855815.6820648755</v>
      </c>
      <c r="O44" s="33">
        <f>(1+RATE(E44,-F44,0,N44,1))^12-1</f>
        <v>0.08786295942349875</v>
      </c>
      <c r="P44" s="34">
        <f>(G44/100-O44)*100</f>
        <v>1.1637040576501236</v>
      </c>
      <c r="Q44" s="33">
        <f>(G44-(H44))/100</f>
        <v>0.0925</v>
      </c>
      <c r="R44" s="17">
        <f>F44*(1-(0)/100)*(((1+Q44)^(E44/12)-1)/((1+Q44)^(1/12)-1))*(1+Q44)^(1/12)</f>
        <v>1992637.1328956662</v>
      </c>
      <c r="S44" s="33">
        <f>(1+RATE(E44,-F44,0,R44,1))^12-1</f>
        <v>0.09250000000000314</v>
      </c>
      <c r="T44" s="34">
        <f>(G44/100-S44)*100</f>
        <v>0.6999999999996855</v>
      </c>
      <c r="U44" s="33">
        <f>(G44-(I44))/100</f>
        <v>0.09949999999999999</v>
      </c>
      <c r="V44" s="17">
        <f>F44*(1-(0)/100)*(((1+U44)^(E44/12)-1)/((1+U44)^(1/12)-1))*(1+U44)^(1/12)</f>
        <v>2220375.565372879</v>
      </c>
      <c r="W44" s="33">
        <f>(1+RATE(E44,-F44,0,V44,1))^12-1</f>
        <v>0.0994999999999977</v>
      </c>
      <c r="X44" s="34">
        <f>(G44/100-W44)*100</f>
        <v>2.2898349882893854e-13</v>
      </c>
      <c r="Y44" s="33">
        <f>(G44-(J44))/100</f>
        <v>0.09599999999999999</v>
      </c>
      <c r="Z44" s="17">
        <f>F44*(1-(K44)/100)*(((1+Y44)^(E44/12)-1)/((1+Y44)^(1/12)-1))*(1+Y44)^(1/12)</f>
        <v>2066890.7966646343</v>
      </c>
      <c r="AA44" s="33">
        <f>(1+RATE(E44,-F44,0,Z44,1))^12-1</f>
        <v>0.09487366880063486</v>
      </c>
      <c r="AB44" s="34">
        <f>(G44/100-AA44)*100</f>
        <v>0.4626331199365133</v>
      </c>
      <c r="AC44" s="34">
        <f>T44+X44+AB44</f>
        <v>1.1626331199364277</v>
      </c>
      <c r="AD44" s="24">
        <f>IF(AC44=0,0,ROUND(T44*P44/AC44+1E-9,2))</f>
        <v>0.7</v>
      </c>
      <c r="AE44" s="24">
        <f>IF(AC44=0,0,ROUND(X44*P44/AC44+1E-9,2))</f>
        <v>0</v>
      </c>
      <c r="AF44" s="24">
        <f>IF(AC44=0,0,ROUND(AB44*P44/AC44+1E-9,2))</f>
        <v>0.46</v>
      </c>
      <c r="AG44" s="24">
        <v>0</v>
      </c>
      <c r="AH44" s="35">
        <f>ROUND(AD44+AE44+AF44+AG44+1E-9,2)</f>
        <v>1.16</v>
      </c>
    </row>
    <row r="45" spans="1:34" x14ac:dyDescent="0.25">
      <c r="A45" s="13" t="s">
        <v>90</v>
      </c>
      <c r="B45" s="23">
        <v>1</v>
      </c>
      <c r="C45" s="18">
        <f>IF(ROUND(D45/12,0)&gt;10,CHOOSE(B45,1,5,10,ROUND(D45/12,0)),CHOOSE(B45,1,3,5,ROUND(D45/12,0)))</f>
        <v>1</v>
      </c>
      <c r="D45" s="23">
        <v>180</v>
      </c>
      <c r="E45" s="18">
        <f>C45*12</f>
        <v>12</v>
      </c>
      <c r="F45" s="17">
        <f>INDEX('Fee Switch-Off'!$F$5:$F$30,MATCH($A45,'Fee Switch-Off'!$A$5:$A$30,0))</f>
        <v>3500</v>
      </c>
      <c r="G45" s="32">
        <v>10.4</v>
      </c>
      <c r="H45" s="24">
        <f>IF(ISNUMBER(SEARCH("TFI",INDEX('Fee Switch-Off'!$C$5:$C$30,MATCH($A45,'Fee Switch-Off'!$A$5:$A$30,0)))),Assumptions!$B$8,Assumptions!$B$7)</f>
        <v>0.85</v>
      </c>
      <c r="I45" s="16">
        <f>INDEX('Quote Summary'!$E$5:$E$30,MATCH($A45,'Quote Summary'!$A$5:$A$30,0))</f>
        <v>0</v>
      </c>
      <c r="J45" s="24">
        <f>Assumptions!$B$9</f>
        <v>0.35</v>
      </c>
      <c r="K45" s="16">
        <f>Assumptions!$B$10</f>
        <v>1.725</v>
      </c>
      <c r="L45" s="24">
        <f>Assumptions!$B$11</f>
        <v>0</v>
      </c>
      <c r="M45" s="33">
        <f>(G45-(H45+J45+I45+L45))/100</f>
        <v>0.09200000000000001</v>
      </c>
      <c r="N45" s="17">
        <f>F45*(1-(K45)/100)*(((1+M45)^(E45/12)-1)/((1+M45)^(1/12)-1))*(1+M45)^(1/12)</f>
        <v>43304.74210582699</v>
      </c>
      <c r="O45" s="33">
        <f>(1+RATE(E45,-F45,0,N45,1))^12-1</f>
        <v>0.0578482932626494</v>
      </c>
      <c r="P45" s="34">
        <f>(G45/100-O45)*100</f>
        <v>4.6151706737350615</v>
      </c>
      <c r="Q45" s="33">
        <f>(G45-(H45))/100</f>
        <v>0.0955</v>
      </c>
      <c r="R45" s="17">
        <f>F45*(1-(0)/100)*(((1+Q45)^(E45/12)-1)/((1+Q45)^(1/12)-1))*(1+Q45)^(1/12)</f>
        <v>44142.353706493486</v>
      </c>
      <c r="S45" s="33">
        <f>(1+RATE(E45,-F45,0,R45,1))^12-1</f>
        <v>0.0955000000000068</v>
      </c>
      <c r="T45" s="34">
        <f>(G45/100-S45)*100</f>
        <v>0.8499999999993207</v>
      </c>
      <c r="U45" s="33">
        <f>(G45-(I45))/100</f>
        <v>0.10400000000000001</v>
      </c>
      <c r="V45" s="17">
        <f>F45*(1-(0)/100)*(((1+U45)^(E45/12)-1)/((1+U45)^(1/12)-1))*(1+U45)^(1/12)</f>
        <v>44330.24183130496</v>
      </c>
      <c r="W45" s="33">
        <f>(1+RATE(E45,-F45,0,V45,1))^12-1</f>
        <v>0.10400000000000098</v>
      </c>
      <c r="X45" s="34">
        <f>(G45/100-W45)*100</f>
        <v>-9.71445146547012e-14</v>
      </c>
      <c r="Y45" s="33">
        <f>(G45-(J45))/100</f>
        <v>0.1005</v>
      </c>
      <c r="Z45" s="17">
        <f>F45*(1-(K45)/100)*(((1+Y45)^(E45/12)-1)/((1+Y45)^(1/12)-1))*(1+Y45)^(1/12)</f>
        <v>43489.565843642784</v>
      </c>
      <c r="AA45" s="33">
        <f>(1+RATE(E45,-F45,0,Z45,1))^12-1</f>
        <v>0.06612218752391552</v>
      </c>
      <c r="AB45" s="34">
        <f>(G45/100-AA45)*100</f>
        <v>3.7877812476084487</v>
      </c>
      <c r="AC45" s="34">
        <f>T45+X45+AB45</f>
        <v>4.6377812476076725</v>
      </c>
      <c r="AD45" s="24">
        <f>IF(AC45=0,0,ROUND(T45*P45/AC45+1E-9,2))</f>
        <v>0.85</v>
      </c>
      <c r="AE45" s="24">
        <f>IF(AC45=0,0,ROUND(X45*P45/AC45+1E-9,2))</f>
        <v>0</v>
      </c>
      <c r="AF45" s="24">
        <f>IF(AC45=0,0,ROUND(AB45*P45/AC45+1E-9,2))</f>
        <v>3.77</v>
      </c>
      <c r="AG45" s="24">
        <v>0</v>
      </c>
      <c r="AH45" s="35">
        <f>ROUND(AD45+AE45+AF45+AG45+1E-9,2)</f>
        <v>4.62</v>
      </c>
    </row>
    <row r="46" spans="1:34" x14ac:dyDescent="0.25">
      <c r="A46" s="13" t="s">
        <v>90</v>
      </c>
      <c r="B46" s="23">
        <v>2</v>
      </c>
      <c r="C46" s="18">
        <f>IF(ROUND(D46/12,0)&gt;10,CHOOSE(B46,1,5,10,ROUND(D46/12,0)),CHOOSE(B46,1,3,5,ROUND(D46/12,0)))</f>
        <v>5</v>
      </c>
      <c r="D46" s="23">
        <v>180</v>
      </c>
      <c r="E46" s="18">
        <f>C46*12</f>
        <v>60</v>
      </c>
      <c r="F46" s="17">
        <f>INDEX('Fee Switch-Off'!$F$5:$F$30,MATCH($A46,'Fee Switch-Off'!$A$5:$A$30,0))</f>
        <v>3500</v>
      </c>
      <c r="G46" s="32">
        <v>10.4</v>
      </c>
      <c r="H46" s="24">
        <f>IF(ISNUMBER(SEARCH("TFI",INDEX('Fee Switch-Off'!$C$5:$C$30,MATCH($A46,'Fee Switch-Off'!$A$5:$A$30,0)))),Assumptions!$B$8,Assumptions!$B$7)</f>
        <v>0.85</v>
      </c>
      <c r="I46" s="16">
        <f>INDEX('Quote Summary'!$E$5:$E$30,MATCH($A46,'Quote Summary'!$A$5:$A$30,0))</f>
        <v>0</v>
      </c>
      <c r="J46" s="24">
        <f>Assumptions!$B$9</f>
        <v>0.35</v>
      </c>
      <c r="K46" s="16">
        <f>Assumptions!$B$10</f>
        <v>1.725</v>
      </c>
      <c r="L46" s="24">
        <f>Assumptions!$B$11</f>
        <v>0</v>
      </c>
      <c r="M46" s="33">
        <f>(G46-(H46+J46+I46+L46))/100</f>
        <v>0.09200000000000001</v>
      </c>
      <c r="N46" s="17">
        <f>F46*(1-(K46)/100)*(((1+M46)^(E46/12)-1)/((1+M46)^(1/12)-1))*(1+M46)^(1/12)</f>
        <v>260201.09337467514</v>
      </c>
      <c r="O46" s="33">
        <f>(1+RATE(E46,-F46,0,N46,1))^12-1</f>
        <v>0.08503082319564537</v>
      </c>
      <c r="P46" s="34">
        <f>(G46/100-O46)*100</f>
        <v>1.8969176804354642</v>
      </c>
      <c r="Q46" s="33">
        <f>(G46-(H46))/100</f>
        <v>0.0955</v>
      </c>
      <c r="R46" s="17">
        <f>F46*(1-(0)/100)*(((1+Q46)^(E46/12)-1)/((1+Q46)^(1/12)-1))*(1+Q46)^(1/12)</f>
        <v>267089.5174425765</v>
      </c>
      <c r="S46" s="33">
        <f>(1+RATE(E46,-F46,0,R46,1))^12-1</f>
        <v>0.0955000000000068</v>
      </c>
      <c r="T46" s="34">
        <f>(G46/100-S46)*100</f>
        <v>0.8499999999993207</v>
      </c>
      <c r="U46" s="33">
        <f>(G46-(I46))/100</f>
        <v>0.10400000000000001</v>
      </c>
      <c r="V46" s="17">
        <f>F46*(1-(0)/100)*(((1+U46)^(E46/12)-1)/((1+U46)^(1/12)-1))*(1+U46)^(1/12)</f>
        <v>272803.9330945803</v>
      </c>
      <c r="W46" s="33">
        <f>(1+RATE(E46,-F46,0,V46,1))^12-1</f>
        <v>0.10400000000000098</v>
      </c>
      <c r="X46" s="34">
        <f>(G46/100-W46)*100</f>
        <v>-9.71445146547012e-14</v>
      </c>
      <c r="Y46" s="33">
        <f>(G46-(J46))/100</f>
        <v>0.1005</v>
      </c>
      <c r="Z46" s="17">
        <f>F46*(1-(K46)/100)*(((1+Y46)^(E46/12)-1)/((1+Y46)^(1/12)-1))*(1+Y46)^(1/12)</f>
        <v>265772.56023785874</v>
      </c>
      <c r="AA46" s="33">
        <f>(1+RATE(E46,-F46,0,Z46,1))^12-1</f>
        <v>0.09351762792825768</v>
      </c>
      <c r="AB46" s="34">
        <f>(G46/100-AA46)*100</f>
        <v>1.0482372071742323</v>
      </c>
      <c r="AC46" s="34">
        <f>T46+X46+AB46</f>
        <v>1.898237207173456</v>
      </c>
      <c r="AD46" s="24">
        <f>IF(AC46=0,0,ROUND(T46*P46/AC46+1E-9,2))</f>
        <v>0.85</v>
      </c>
      <c r="AE46" s="24">
        <f>IF(AC46=0,0,ROUND(X46*P46/AC46+1E-9,2))</f>
        <v>0</v>
      </c>
      <c r="AF46" s="24">
        <f>IF(AC46=0,0,ROUND(AB46*P46/AC46+1E-9,2))</f>
        <v>1.05</v>
      </c>
      <c r="AG46" s="24">
        <v>0</v>
      </c>
      <c r="AH46" s="35">
        <f>ROUND(AD46+AE46+AF46+AG46+1E-9,2)</f>
        <v>1.9</v>
      </c>
    </row>
    <row r="47" spans="1:34" x14ac:dyDescent="0.25">
      <c r="A47" s="13" t="s">
        <v>90</v>
      </c>
      <c r="B47" s="23">
        <v>3</v>
      </c>
      <c r="C47" s="18">
        <f>IF(ROUND(D47/12,0)&gt;10,CHOOSE(B47,1,5,10,ROUND(D47/12,0)),CHOOSE(B47,1,3,5,ROUND(D47/12,0)))</f>
        <v>10</v>
      </c>
      <c r="D47" s="23">
        <v>180</v>
      </c>
      <c r="E47" s="18">
        <f>C47*12</f>
        <v>120</v>
      </c>
      <c r="F47" s="17">
        <f>INDEX('Fee Switch-Off'!$F$5:$F$30,MATCH($A47,'Fee Switch-Off'!$A$5:$A$30,0))</f>
        <v>3500</v>
      </c>
      <c r="G47" s="32">
        <v>10.4</v>
      </c>
      <c r="H47" s="24">
        <f>IF(ISNUMBER(SEARCH("TFI",INDEX('Fee Switch-Off'!$C$5:$C$30,MATCH($A47,'Fee Switch-Off'!$A$5:$A$30,0)))),Assumptions!$B$8,Assumptions!$B$7)</f>
        <v>0.85</v>
      </c>
      <c r="I47" s="16">
        <f>INDEX('Quote Summary'!$E$5:$E$30,MATCH($A47,'Quote Summary'!$A$5:$A$30,0))</f>
        <v>0</v>
      </c>
      <c r="J47" s="24">
        <f>Assumptions!$B$9</f>
        <v>0.35</v>
      </c>
      <c r="K47" s="16">
        <f>Assumptions!$B$10</f>
        <v>1.725</v>
      </c>
      <c r="L47" s="24">
        <f>Assumptions!$B$11</f>
        <v>0</v>
      </c>
      <c r="M47" s="33">
        <f>(G47-(H47+J47+I47+L47))/100</f>
        <v>0.09200000000000001</v>
      </c>
      <c r="N47" s="17">
        <f>F47*(1-(K47)/100)*(((1+M47)^(E47/12)-1)/((1+M47)^(1/12)-1))*(1+M47)^(1/12)</f>
        <v>664239.1829879786</v>
      </c>
      <c r="O47" s="33">
        <f>(1+RATE(E47,-F47,0,N47,1))^12-1</f>
        <v>0.08870247484858296</v>
      </c>
      <c r="P47" s="34">
        <f>(G47/100-O47)*100</f>
        <v>1.529752515141705</v>
      </c>
      <c r="Q47" s="33">
        <f>(G47-(H47))/100</f>
        <v>0.0955</v>
      </c>
      <c r="R47" s="17">
        <f>F47*(1-(0)/100)*(((1+Q47)^(E47/12)-1)/((1+Q47)^(1/12)-1))*(1+Q47)^(1/12)</f>
        <v>688513.0205986076</v>
      </c>
      <c r="S47" s="33">
        <f>(1+RATE(E47,-F47,0,R47,1))^12-1</f>
        <v>0.09550000000000103</v>
      </c>
      <c r="T47" s="34">
        <f>(G47/100-S47)*100</f>
        <v>0.8499999999998981</v>
      </c>
      <c r="U47" s="33">
        <f>(G47-(I47))/100</f>
        <v>0.10400000000000001</v>
      </c>
      <c r="V47" s="17">
        <f>F47*(1-(0)/100)*(((1+U47)^(E47/12)-1)/((1+U47)^(1/12)-1))*(1+U47)^(1/12)</f>
        <v>720203.9481209551</v>
      </c>
      <c r="W47" s="33">
        <f>(1+RATE(E47,-F47,0,V47,1))^12-1</f>
        <v>0.10400000000000098</v>
      </c>
      <c r="X47" s="34">
        <f>(G47/100-W47)*100</f>
        <v>-9.71445146547012e-14</v>
      </c>
      <c r="Y47" s="33">
        <f>(G47-(J47))/100</f>
        <v>0.1005</v>
      </c>
      <c r="Z47" s="17">
        <f>F47*(1-(K47)/100)*(((1+Y47)^(E47/12)-1)/((1+Y47)^(1/12)-1))*(1+Y47)^(1/12)</f>
        <v>694775.6050004078</v>
      </c>
      <c r="AA47" s="33">
        <f>(1+RATE(E47,-F47,0,Z47,1))^12-1</f>
        <v>0.09721228545993998</v>
      </c>
      <c r="AB47" s="34">
        <f>(G47/100-AA47)*100</f>
        <v>0.6787714540060025</v>
      </c>
      <c r="AC47" s="34">
        <f>T47+X47+AB47</f>
        <v>1.5287714540058035</v>
      </c>
      <c r="AD47" s="24">
        <f>IF(AC47=0,0,ROUND(T47*P47/AC47+1E-9,2))</f>
        <v>0.85</v>
      </c>
      <c r="AE47" s="24">
        <f>IF(AC47=0,0,ROUND(X47*P47/AC47+1E-9,2))</f>
        <v>0</v>
      </c>
      <c r="AF47" s="24">
        <f>IF(AC47=0,0,ROUND(AB47*P47/AC47+1E-9,2))</f>
        <v>0.68</v>
      </c>
      <c r="AG47" s="24">
        <v>0</v>
      </c>
      <c r="AH47" s="35">
        <f>ROUND(AD47+AE47+AF47+AG47+1E-9,2)</f>
        <v>1.53</v>
      </c>
    </row>
    <row r="48" spans="1:34" x14ac:dyDescent="0.25">
      <c r="A48" s="13" t="s">
        <v>90</v>
      </c>
      <c r="B48" s="23">
        <v>4</v>
      </c>
      <c r="C48" s="18">
        <f>IF(ROUND(D48/12,0)&gt;10,CHOOSE(B48,1,5,10,ROUND(D48/12,0)),CHOOSE(B48,1,3,5,ROUND(D48/12,0)))</f>
        <v>15</v>
      </c>
      <c r="D48" s="23">
        <v>180</v>
      </c>
      <c r="E48" s="18">
        <f>C48*12</f>
        <v>180</v>
      </c>
      <c r="F48" s="17">
        <f>INDEX('Fee Switch-Off'!$F$5:$F$30,MATCH($A48,'Fee Switch-Off'!$A$5:$A$30,0))</f>
        <v>3500</v>
      </c>
      <c r="G48" s="32">
        <v>10.4</v>
      </c>
      <c r="H48" s="24">
        <f>IF(ISNUMBER(SEARCH("TFI",INDEX('Fee Switch-Off'!$C$5:$C$30,MATCH($A48,'Fee Switch-Off'!$A$5:$A$30,0)))),Assumptions!$B$8,Assumptions!$B$7)</f>
        <v>0.85</v>
      </c>
      <c r="I48" s="16">
        <f>INDEX('Quote Summary'!$E$5:$E$30,MATCH($A48,'Quote Summary'!$A$5:$A$30,0))</f>
        <v>0</v>
      </c>
      <c r="J48" s="24">
        <f>Assumptions!$B$9</f>
        <v>0.35</v>
      </c>
      <c r="K48" s="16">
        <f>Assumptions!$B$10</f>
        <v>1.725</v>
      </c>
      <c r="L48" s="24">
        <f>Assumptions!$B$11</f>
        <v>0</v>
      </c>
      <c r="M48" s="33">
        <f>(G48-(H48+J48+I48+L48))/100</f>
        <v>0.09200000000000001</v>
      </c>
      <c r="N48" s="17">
        <f>F48*(1-(K48)/100)*(((1+M48)^(E48/12)-1)/((1+M48)^(1/12)-1))*(1+M48)^(1/12)</f>
        <v>1291626.1618093995</v>
      </c>
      <c r="O48" s="33">
        <f>(1+RATE(E48,-F48,0,N48,1))^12-1</f>
        <v>0.08992063567224995</v>
      </c>
      <c r="P48" s="34">
        <f>(G48/100-O48)*100</f>
        <v>1.407936432775006</v>
      </c>
      <c r="Q48" s="33">
        <f>(G48-(H48))/100</f>
        <v>0.0955</v>
      </c>
      <c r="R48" s="17">
        <f>F48*(1-(0)/100)*(((1+Q48)^(E48/12)-1)/((1+Q48)^(1/12)-1))*(1+Q48)^(1/12)</f>
        <v>1353450.2697756903</v>
      </c>
      <c r="S48" s="33">
        <f>(1+RATE(E48,-F48,0,R48,1))^12-1</f>
        <v>0.09550000000000103</v>
      </c>
      <c r="T48" s="34">
        <f>(G48/100-S48)*100</f>
        <v>0.8499999999998981</v>
      </c>
      <c r="U48" s="33">
        <f>(G48-(I48))/100</f>
        <v>0.10400000000000001</v>
      </c>
      <c r="V48" s="17">
        <f>F48*(1-(0)/100)*(((1+U48)^(E48/12)-1)/((1+U48)^(1/12)-1))*(1+U48)^(1/12)</f>
        <v>1453942.5389652567</v>
      </c>
      <c r="W48" s="33">
        <f>(1+RATE(E48,-F48,0,V48,1))^12-1</f>
        <v>0.10400000000000098</v>
      </c>
      <c r="X48" s="34">
        <f>(G48/100-W48)*100</f>
        <v>-9.71445146547012e-14</v>
      </c>
      <c r="Y48" s="33">
        <f>(G48-(J48))/100</f>
        <v>0.1005</v>
      </c>
      <c r="Z48" s="17">
        <f>F48*(1-(K48)/100)*(((1+Y48)^(E48/12)-1)/((1+Y48)^(1/12)-1))*(1+Y48)^(1/12)</f>
        <v>1387260.9851721758</v>
      </c>
      <c r="AA48" s="33">
        <f>(1+RATE(E48,-F48,0,Z48,1))^12-1</f>
        <v>0.09843451634061062</v>
      </c>
      <c r="AB48" s="34">
        <f>(G48/100-AA48)*100</f>
        <v>0.5565483659389386</v>
      </c>
      <c r="AC48" s="34">
        <f>T48+X48+AB48</f>
        <v>1.4065483659387397</v>
      </c>
      <c r="AD48" s="24">
        <f>IF(AC48=0,0,ROUND(T48*P48/AC48+1E-9,2))</f>
        <v>0.85</v>
      </c>
      <c r="AE48" s="24">
        <f>IF(AC48=0,0,ROUND(X48*P48/AC48+1E-9,2))</f>
        <v>0</v>
      </c>
      <c r="AF48" s="24">
        <f>IF(AC48=0,0,ROUND(AB48*P48/AC48+1E-9,2))</f>
        <v>0.56</v>
      </c>
      <c r="AG48" s="24">
        <v>0</v>
      </c>
      <c r="AH48" s="35">
        <f>ROUND(AD48+AE48+AF48+AG48+1E-9,2)</f>
        <v>1.41</v>
      </c>
    </row>
    <row r="49" spans="1:34" x14ac:dyDescent="0.25">
      <c r="A49" s="13" t="s">
        <v>92</v>
      </c>
      <c r="B49" s="23">
        <v>1</v>
      </c>
      <c r="C49" s="18">
        <f>IF(ROUND(D49/12,0)&gt;10,CHOOSE(B49,1,5,10,ROUND(D49/12,0)),CHOOSE(B49,1,3,5,ROUND(D49/12,0)))</f>
        <v>1</v>
      </c>
      <c r="D49" s="23">
        <v>360</v>
      </c>
      <c r="E49" s="18">
        <f>C49*12</f>
        <v>12</v>
      </c>
      <c r="F49" s="17">
        <f>INDEX('Fee Switch-Off'!$F$5:$F$30,MATCH($A49,'Fee Switch-Off'!$A$5:$A$30,0))</f>
        <v>600</v>
      </c>
      <c r="G49" s="32">
        <v>10.85</v>
      </c>
      <c r="H49" s="24">
        <f>IF(ISNUMBER(SEARCH("TFI",INDEX('Fee Switch-Off'!$C$5:$C$30,MATCH($A49,'Fee Switch-Off'!$A$5:$A$30,0)))),Assumptions!$B$8,Assumptions!$B$7)</f>
        <v>0.7</v>
      </c>
      <c r="I49" s="16">
        <f>INDEX('Quote Summary'!$E$5:$E$30,MATCH($A49,'Quote Summary'!$A$5:$A$30,0))</f>
        <v>0</v>
      </c>
      <c r="J49" s="24">
        <f>Assumptions!$B$9</f>
        <v>0.35</v>
      </c>
      <c r="K49" s="16">
        <f>Assumptions!$B$10</f>
        <v>1.725</v>
      </c>
      <c r="L49" s="24">
        <f>Assumptions!$B$11</f>
        <v>0</v>
      </c>
      <c r="M49" s="33">
        <f>(G49-(H49+J49+I49+L49))/100</f>
        <v>0.098</v>
      </c>
      <c r="N49" s="17">
        <f>F49*(1-(K49)/100)*(((1+M49)^(E49/12)-1)/((1+M49)^(1/12)-1))*(1+M49)^(1/12)</f>
        <v>7446.042948570904</v>
      </c>
      <c r="O49" s="33">
        <f>(1+RATE(E49,-F49,0,N49,1))^12-1</f>
        <v>0.06368866713201382</v>
      </c>
      <c r="P49" s="34">
        <f>(G49/100-O49)*100</f>
        <v>4.4811332867986176</v>
      </c>
      <c r="Q49" s="33">
        <f>(G49-(H49))/100</f>
        <v>0.1015</v>
      </c>
      <c r="R49" s="17">
        <f>F49*(1-(0)/100)*(((1+Q49)^(E49/12)-1)/((1+Q49)^(1/12)-1))*(1+Q49)^(1/12)</f>
        <v>7590.004422515605</v>
      </c>
      <c r="S49" s="33">
        <f>(1+RATE(E49,-F49,0,R49,1))^12-1</f>
        <v>0.10150000000000059</v>
      </c>
      <c r="T49" s="34">
        <f>(G49/100-S49)*100</f>
        <v>0.6999999999999409</v>
      </c>
      <c r="U49" s="33">
        <f>(G49-(I49))/100</f>
        <v>0.1085</v>
      </c>
      <c r="V49" s="17">
        <f>F49*(1-(0)/100)*(((1+U49)^(E49/12)-1)/((1+U49)^(1/12)-1))*(1+U49)^(1/12)</f>
        <v>7616.491949076917</v>
      </c>
      <c r="W49" s="33">
        <f>(1+RATE(E49,-F49,0,V49,1))^12-1</f>
        <v>0.10850000000000337</v>
      </c>
      <c r="X49" s="34">
        <f>(G49/100-W49)*100</f>
        <v>-3.372302437298913e-13</v>
      </c>
      <c r="Y49" s="33">
        <f>(G49-(J49))/100</f>
        <v>0.105</v>
      </c>
      <c r="Z49" s="17">
        <f>F49*(1-(K49)/100)*(((1+Y49)^(E49/12)-1)/((1+Y49)^(1/12)-1))*(1+Y49)^(1/12)</f>
        <v>7472.098331442204</v>
      </c>
      <c r="AA49" s="33">
        <f>(1+RATE(E49,-F49,0,Z49,1))^12-1</f>
        <v>0.07050257034432073</v>
      </c>
      <c r="AB49" s="34">
        <f>(G49/100-AA49)*100</f>
        <v>3.7997429655679276</v>
      </c>
      <c r="AC49" s="34">
        <f>T49+X49+AB49</f>
        <v>4.499742965567531</v>
      </c>
      <c r="AD49" s="24">
        <f>IF(AC49=0,0,ROUND(T49*P49/AC49+1E-9,2))</f>
        <v>0.7</v>
      </c>
      <c r="AE49" s="24">
        <f>IF(AC49=0,0,ROUND(X49*P49/AC49+1E-9,2))</f>
        <v>0</v>
      </c>
      <c r="AF49" s="24">
        <f>IF(AC49=0,0,ROUND(AB49*P49/AC49+1E-9,2))</f>
        <v>3.78</v>
      </c>
      <c r="AG49" s="24">
        <v>0</v>
      </c>
      <c r="AH49" s="35">
        <f>ROUND(AD49+AE49+AF49+AG49+1E-9,2)</f>
        <v>4.48</v>
      </c>
    </row>
    <row r="50" spans="1:34" x14ac:dyDescent="0.25">
      <c r="A50" s="13" t="s">
        <v>92</v>
      </c>
      <c r="B50" s="23">
        <v>2</v>
      </c>
      <c r="C50" s="18">
        <f>IF(ROUND(D50/12,0)&gt;10,CHOOSE(B50,1,5,10,ROUND(D50/12,0)),CHOOSE(B50,1,3,5,ROUND(D50/12,0)))</f>
        <v>5</v>
      </c>
      <c r="D50" s="23">
        <v>360</v>
      </c>
      <c r="E50" s="18">
        <f>C50*12</f>
        <v>60</v>
      </c>
      <c r="F50" s="17">
        <f>INDEX('Fee Switch-Off'!$F$5:$F$30,MATCH($A50,'Fee Switch-Off'!$A$5:$A$30,0))</f>
        <v>600</v>
      </c>
      <c r="G50" s="32">
        <v>10.85</v>
      </c>
      <c r="H50" s="24">
        <f>IF(ISNUMBER(SEARCH("TFI",INDEX('Fee Switch-Off'!$C$5:$C$30,MATCH($A50,'Fee Switch-Off'!$A$5:$A$30,0)))),Assumptions!$B$8,Assumptions!$B$7)</f>
        <v>0.7</v>
      </c>
      <c r="I50" s="16">
        <f>INDEX('Quote Summary'!$E$5:$E$30,MATCH($A50,'Quote Summary'!$A$5:$A$30,0))</f>
        <v>0</v>
      </c>
      <c r="J50" s="24">
        <f>Assumptions!$B$9</f>
        <v>0.35</v>
      </c>
      <c r="K50" s="16">
        <f>Assumptions!$B$10</f>
        <v>1.725</v>
      </c>
      <c r="L50" s="24">
        <f>Assumptions!$B$11</f>
        <v>0</v>
      </c>
      <c r="M50" s="33">
        <f>(G50-(H50+J50+I50+L50))/100</f>
        <v>0.098</v>
      </c>
      <c r="N50" s="17">
        <f>F50*(1-(K50)/100)*(((1+M50)^(E50/12)-1)/((1+M50)^(1/12)-1))*(1+M50)^(1/12)</f>
        <v>45278.18237680245</v>
      </c>
      <c r="O50" s="33">
        <f>(1+RATE(E50,-F50,0,N50,1))^12-1</f>
        <v>0.09102153313967665</v>
      </c>
      <c r="P50" s="34">
        <f>(G50/100-O50)*100</f>
        <v>1.7478466860323352</v>
      </c>
      <c r="Q50" s="33">
        <f>(G50-(H50))/100</f>
        <v>0.1015</v>
      </c>
      <c r="R50" s="17">
        <f>F50*(1-(0)/100)*(((1+Q50)^(E50/12)-1)/((1+Q50)^(1/12)-1))*(1+Q50)^(1/12)</f>
        <v>46476.30692490831</v>
      </c>
      <c r="S50" s="33">
        <f>(1+RATE(E50,-F50,0,R50,1))^12-1</f>
        <v>0.10150000000000059</v>
      </c>
      <c r="T50" s="34">
        <f>(G50/100-S50)*100</f>
        <v>0.6999999999999409</v>
      </c>
      <c r="U50" s="33">
        <f>(G50-(I50))/100</f>
        <v>0.1085</v>
      </c>
      <c r="V50" s="17">
        <f>F50*(1-(0)/100)*(((1+U50)^(E50/12)-1)/((1+U50)^(1/12)-1))*(1+U50)^(1/12)</f>
        <v>47292.683833457944</v>
      </c>
      <c r="W50" s="33">
        <f>(1+RATE(E50,-F50,0,V50,1))^12-1</f>
        <v>0.10850000000000337</v>
      </c>
      <c r="X50" s="34">
        <f>(G50/100-W50)*100</f>
        <v>-3.372302437298913e-13</v>
      </c>
      <c r="Y50" s="33">
        <f>(G50-(J50))/100</f>
        <v>0.105</v>
      </c>
      <c r="Z50" s="17">
        <f>F50*(1-(K50)/100)*(((1+Y50)^(E50/12)-1)/((1+Y50)^(1/12)-1))*(1+Y50)^(1/12)</f>
        <v>46074.151423643874</v>
      </c>
      <c r="AA50" s="33">
        <f>(1+RATE(E50,-F50,0,Z50,1))^12-1</f>
        <v>0.09801054790656316</v>
      </c>
      <c r="AB50" s="34">
        <f>(G50/100-AA50)*100</f>
        <v>1.0489452093436837</v>
      </c>
      <c r="AC50" s="34">
        <f>T50+X50+AB50</f>
        <v>1.7489452093432873</v>
      </c>
      <c r="AD50" s="24">
        <f>IF(AC50=0,0,ROUND(T50*P50/AC50+1E-9,2))</f>
        <v>0.7</v>
      </c>
      <c r="AE50" s="24">
        <f>IF(AC50=0,0,ROUND(X50*P50/AC50+1E-9,2))</f>
        <v>0</v>
      </c>
      <c r="AF50" s="24">
        <f>IF(AC50=0,0,ROUND(AB50*P50/AC50+1E-9,2))</f>
        <v>1.05</v>
      </c>
      <c r="AG50" s="24">
        <v>0</v>
      </c>
      <c r="AH50" s="35">
        <f>ROUND(AD50+AE50+AF50+AG50+1E-9,2)</f>
        <v>1.75</v>
      </c>
    </row>
    <row r="51" spans="1:34" x14ac:dyDescent="0.25">
      <c r="A51" s="13" t="s">
        <v>92</v>
      </c>
      <c r="B51" s="23">
        <v>3</v>
      </c>
      <c r="C51" s="18">
        <f>IF(ROUND(D51/12,0)&gt;10,CHOOSE(B51,1,5,10,ROUND(D51/12,0)),CHOOSE(B51,1,3,5,ROUND(D51/12,0)))</f>
        <v>10</v>
      </c>
      <c r="D51" s="23">
        <v>360</v>
      </c>
      <c r="E51" s="18">
        <f>C51*12</f>
        <v>120</v>
      </c>
      <c r="F51" s="17">
        <f>INDEX('Fee Switch-Off'!$F$5:$F$30,MATCH($A51,'Fee Switch-Off'!$A$5:$A$30,0))</f>
        <v>600</v>
      </c>
      <c r="G51" s="32">
        <v>10.85</v>
      </c>
      <c r="H51" s="24">
        <f>IF(ISNUMBER(SEARCH("TFI",INDEX('Fee Switch-Off'!$C$5:$C$30,MATCH($A51,'Fee Switch-Off'!$A$5:$A$30,0)))),Assumptions!$B$8,Assumptions!$B$7)</f>
        <v>0.7</v>
      </c>
      <c r="I51" s="16">
        <f>INDEX('Quote Summary'!$E$5:$E$30,MATCH($A51,'Quote Summary'!$A$5:$A$30,0))</f>
        <v>0</v>
      </c>
      <c r="J51" s="24">
        <f>Assumptions!$B$9</f>
        <v>0.35</v>
      </c>
      <c r="K51" s="16">
        <f>Assumptions!$B$10</f>
        <v>1.725</v>
      </c>
      <c r="L51" s="24">
        <f>Assumptions!$B$11</f>
        <v>0</v>
      </c>
      <c r="M51" s="33">
        <f>(G51-(H51+J51+I51+L51))/100</f>
        <v>0.098</v>
      </c>
      <c r="N51" s="17">
        <f>F51*(1-(K51)/100)*(((1+M51)^(E51/12)-1)/((1+M51)^(1/12)-1))*(1+M51)^(1/12)</f>
        <v>117538.6362397727</v>
      </c>
      <c r="O51" s="33">
        <f>(1+RATE(E51,-F51,0,N51,1))^12-1</f>
        <v>0.09470947552385356</v>
      </c>
      <c r="P51" s="34">
        <f>(G51/100-O51)*100</f>
        <v>1.379052447614644</v>
      </c>
      <c r="Q51" s="33">
        <f>(G51-(H51))/100</f>
        <v>0.1015</v>
      </c>
      <c r="R51" s="17">
        <f>F51*(1-(0)/100)*(((1+Q51)^(E51/12)-1)/((1+Q51)^(1/12)-1))*(1+Q51)^(1/12)</f>
        <v>121838.60244628057</v>
      </c>
      <c r="S51" s="33">
        <f>(1+RATE(E51,-F51,0,R51,1))^12-1</f>
        <v>0.10150000000000059</v>
      </c>
      <c r="T51" s="34">
        <f>(G51/100-S51)*100</f>
        <v>0.6999999999999409</v>
      </c>
      <c r="U51" s="33">
        <f>(G51-(I51))/100</f>
        <v>0.1085</v>
      </c>
      <c r="V51" s="17">
        <f>F51*(1-(0)/100)*(((1+U51)^(E51/12)-1)/((1+U51)^(1/12)-1))*(1+U51)^(1/12)</f>
        <v>126446.60753496426</v>
      </c>
      <c r="W51" s="33">
        <f>(1+RATE(E51,-F51,0,V51,1))^12-1</f>
        <v>0.10850000000000337</v>
      </c>
      <c r="X51" s="34">
        <f>(G51/100-W51)*100</f>
        <v>-3.372302437298913e-13</v>
      </c>
      <c r="Y51" s="33">
        <f>(G51-(J51))/100</f>
        <v>0.105</v>
      </c>
      <c r="Z51" s="17">
        <f>F51*(1-(K51)/100)*(((1+Y51)^(E51/12)-1)/((1+Y51)^(1/12)-1))*(1+Y51)^(1/12)</f>
        <v>121978.86317998501</v>
      </c>
      <c r="AA51" s="33">
        <f>(1+RATE(E51,-F51,0,Z51,1))^12-1</f>
        <v>0.10171718692432763</v>
      </c>
      <c r="AB51" s="34">
        <f>(G51/100-AA51)*100</f>
        <v>0.6782813075672369</v>
      </c>
      <c r="AC51" s="34">
        <f>T51+X51+AB51</f>
        <v>1.3782813075668405</v>
      </c>
      <c r="AD51" s="24">
        <f>IF(AC51=0,0,ROUND(T51*P51/AC51+1E-9,2))</f>
        <v>0.7</v>
      </c>
      <c r="AE51" s="24">
        <f>IF(AC51=0,0,ROUND(X51*P51/AC51+1E-9,2))</f>
        <v>0</v>
      </c>
      <c r="AF51" s="24">
        <f>IF(AC51=0,0,ROUND(AB51*P51/AC51+1E-9,2))</f>
        <v>0.68</v>
      </c>
      <c r="AG51" s="24">
        <v>0</v>
      </c>
      <c r="AH51" s="35">
        <f>ROUND(AD51+AE51+AF51+AG51+1E-9,2)</f>
        <v>1.38</v>
      </c>
    </row>
    <row r="52" spans="1:34" x14ac:dyDescent="0.25">
      <c r="A52" s="13" t="s">
        <v>92</v>
      </c>
      <c r="B52" s="23">
        <v>4</v>
      </c>
      <c r="C52" s="18">
        <f>IF(ROUND(D52/12,0)&gt;10,CHOOSE(B52,1,5,10,ROUND(D52/12,0)),CHOOSE(B52,1,3,5,ROUND(D52/12,0)))</f>
        <v>30</v>
      </c>
      <c r="D52" s="23">
        <v>360</v>
      </c>
      <c r="E52" s="18">
        <f>C52*12</f>
        <v>360</v>
      </c>
      <c r="F52" s="17">
        <f>INDEX('Fee Switch-Off'!$F$5:$F$30,MATCH($A52,'Fee Switch-Off'!$A$5:$A$30,0))</f>
        <v>600</v>
      </c>
      <c r="G52" s="32">
        <v>10.85</v>
      </c>
      <c r="H52" s="24">
        <f>IF(ISNUMBER(SEARCH("TFI",INDEX('Fee Switch-Off'!$C$5:$C$30,MATCH($A52,'Fee Switch-Off'!$A$5:$A$30,0)))),Assumptions!$B$8,Assumptions!$B$7)</f>
        <v>0.7</v>
      </c>
      <c r="I52" s="16">
        <f>INDEX('Quote Summary'!$E$5:$E$30,MATCH($A52,'Quote Summary'!$A$5:$A$30,0))</f>
        <v>0</v>
      </c>
      <c r="J52" s="24">
        <f>Assumptions!$B$9</f>
        <v>0.35</v>
      </c>
      <c r="K52" s="16">
        <f>Assumptions!$B$10</f>
        <v>1.725</v>
      </c>
      <c r="L52" s="24">
        <f>Assumptions!$B$11</f>
        <v>0</v>
      </c>
      <c r="M52" s="33">
        <f>(G52-(H52+J52+I52+L52))/100</f>
        <v>0.098</v>
      </c>
      <c r="N52" s="17">
        <f>F52*(1-(K52)/100)*(((1+M52)^(E52/12)-1)/((1+M52)^(1/12)-1))*(1+M52)^(1/12)</f>
        <v>1179383.9536157774</v>
      </c>
      <c r="O52" s="33">
        <f>(1+RATE(E52,-F52,0,N52,1))^12-1</f>
        <v>0.09710154442164032</v>
      </c>
      <c r="P52" s="34">
        <f>(G52/100-O52)*100</f>
        <v>1.139845557835968</v>
      </c>
      <c r="Q52" s="33">
        <f>(G52-(H52))/100</f>
        <v>0.1015</v>
      </c>
      <c r="R52" s="17">
        <f>F52*(1-(0)/100)*(((1+Q52)^(E52/12)-1)/((1+Q52)^(1/12)-1))*(1+Q52)^(1/12)</f>
        <v>1284508.2178682701</v>
      </c>
      <c r="S52" s="33">
        <f>(1+RATE(E52,-F52,0,R52,1))^12-1</f>
        <v>0.10150000000000059</v>
      </c>
      <c r="T52" s="34">
        <f>(G52/100-S52)*100</f>
        <v>0.6999999999999409</v>
      </c>
      <c r="U52" s="33">
        <f>(G52-(I52))/100</f>
        <v>0.1085</v>
      </c>
      <c r="V52" s="17">
        <f>F52*(1-(0)/100)*(((1+U52)^(E52/12)-1)/((1+U52)^(1/12)-1))*(1+U52)^(1/12)</f>
        <v>1472909.384148875</v>
      </c>
      <c r="W52" s="33">
        <f>(1+RATE(E52,-F52,0,V52,1))^12-1</f>
        <v>0.10850000000000337</v>
      </c>
      <c r="X52" s="34">
        <f>(G52/100-W52)*100</f>
        <v>-3.372302437298913e-13</v>
      </c>
      <c r="Y52" s="33">
        <f>(G52-(J52))/100</f>
        <v>0.105</v>
      </c>
      <c r="Z52" s="17">
        <f>F52*(1-(K52)/100)*(((1+Y52)^(E52/12)-1)/((1+Y52)^(1/12)-1))*(1+Y52)^(1/12)</f>
        <v>1351564.3113627324</v>
      </c>
      <c r="AA52" s="33">
        <f>(1+RATE(E52,-F52,0,Z52,1))^12-1</f>
        <v>0.10410958835337958</v>
      </c>
      <c r="AB52" s="34">
        <f>(G52/100-AA52)*100</f>
        <v>0.43904116466204207</v>
      </c>
      <c r="AC52" s="34">
        <f>T52+X52+AB52</f>
        <v>1.1390411646616456</v>
      </c>
      <c r="AD52" s="24">
        <f>IF(AC52=0,0,ROUND(T52*P52/AC52+1E-9,2))</f>
        <v>0.7</v>
      </c>
      <c r="AE52" s="24">
        <f>IF(AC52=0,0,ROUND(X52*P52/AC52+1E-9,2))</f>
        <v>0</v>
      </c>
      <c r="AF52" s="24">
        <f>IF(AC52=0,0,ROUND(AB52*P52/AC52+1E-9,2))</f>
        <v>0.44</v>
      </c>
      <c r="AG52" s="24">
        <v>0</v>
      </c>
      <c r="AH52" s="35">
        <f>ROUND(AD52+AE52+AF52+AG52+1E-9,2)</f>
        <v>1.14</v>
      </c>
    </row>
    <row r="53" spans="1:34" x14ac:dyDescent="0.25">
      <c r="A53" s="13" t="s">
        <v>94</v>
      </c>
      <c r="B53" s="23">
        <v>1</v>
      </c>
      <c r="C53" s="18">
        <f>IF(ROUND(D53/12,0)&gt;10,CHOOSE(B53,1,5,10,ROUND(D53/12,0)),CHOOSE(B53,1,3,5,ROUND(D53/12,0)))</f>
        <v>1</v>
      </c>
      <c r="D53" s="23">
        <v>120</v>
      </c>
      <c r="E53" s="18">
        <f>C53*12</f>
        <v>12</v>
      </c>
      <c r="F53" s="17">
        <f>INDEX('Fee Switch-Off'!$F$5:$F$30,MATCH($A53,'Fee Switch-Off'!$A$5:$A$30,0))</f>
        <v>5000</v>
      </c>
      <c r="G53" s="32">
        <v>8.6</v>
      </c>
      <c r="H53" s="24">
        <f>IF(ISNUMBER(SEARCH("TFI",INDEX('Fee Switch-Off'!$C$5:$C$30,MATCH($A53,'Fee Switch-Off'!$A$5:$A$30,0)))),Assumptions!$B$8,Assumptions!$B$7)</f>
        <v>0.85</v>
      </c>
      <c r="I53" s="16">
        <f>INDEX('Quote Summary'!$E$5:$E$30,MATCH($A53,'Quote Summary'!$A$5:$A$30,0))</f>
        <v>0</v>
      </c>
      <c r="J53" s="24">
        <f>Assumptions!$B$9</f>
        <v>0.35</v>
      </c>
      <c r="K53" s="16">
        <f>Assumptions!$B$10</f>
        <v>1.725</v>
      </c>
      <c r="L53" s="24">
        <f>Assumptions!$B$11</f>
        <v>0</v>
      </c>
      <c r="M53" s="33">
        <f>(G53-(H53+J53+I53+L53))/100</f>
        <v>0.074</v>
      </c>
      <c r="N53" s="17">
        <f>F53*(1-(K53)/100)*(((1+M53)^(E53/12)-1)/((1+M53)^(1/12)-1))*(1+M53)^(1/12)</f>
        <v>61302.73757112487</v>
      </c>
      <c r="O53" s="33">
        <f>(1+RATE(E53,-F53,0,N53,1))^12-1</f>
        <v>0.04032781472953473</v>
      </c>
      <c r="P53" s="34">
        <f>(G53/100-O53)*100</f>
        <v>4.567218527046527</v>
      </c>
      <c r="Q53" s="33">
        <f>(G53-(H53))/100</f>
        <v>0.07749999999999999</v>
      </c>
      <c r="R53" s="17">
        <f>F53*(1-(0)/100)*(((1+Q53)^(E53/12)-1)/((1+Q53)^(1/12)-1))*(1+Q53)^(1/12)</f>
        <v>62490.02917624959</v>
      </c>
      <c r="S53" s="33">
        <f>(1+RATE(E53,-F53,0,R53,1))^12-1</f>
        <v>0.07749999999999169</v>
      </c>
      <c r="T53" s="34">
        <f>(G53/100-S53)*100</f>
        <v>0.8500000000008306</v>
      </c>
      <c r="U53" s="33">
        <f>(G53-(I53))/100</f>
        <v>0.086</v>
      </c>
      <c r="V53" s="17">
        <f>F53*(1-(0)/100)*(((1+U53)^(E53/12)-1)/((1+U53)^(1/12)-1))*(1+U53)^(1/12)</f>
        <v>62759.77485609211</v>
      </c>
      <c r="W53" s="33">
        <f>(1+RATE(E53,-F53,0,V53,1))^12-1</f>
        <v>0.08600000000000052</v>
      </c>
      <c r="X53" s="34">
        <f>(G53/100-W53)*100</f>
        <v>-5.2735593669694936e-14</v>
      </c>
      <c r="Y53" s="33">
        <f>(G53-(J53))/100</f>
        <v>0.08249999999999999</v>
      </c>
      <c r="Z53" s="17">
        <f>F53*(1-(K53)/100)*(((1+Y53)^(E53/12)-1)/((1+Y53)^(1/12)-1))*(1+Y53)^(1/12)</f>
        <v>61568.08886121473</v>
      </c>
      <c r="AA53" s="33">
        <f>(1+RATE(E53,-F53,0,Z53,1))^12-1</f>
        <v>0.0486012530399722</v>
      </c>
      <c r="AB53" s="34">
        <f>(G53/100-AA53)*100</f>
        <v>3.739874696002779</v>
      </c>
      <c r="AC53" s="34">
        <f>T53+X53+AB53</f>
        <v>4.589874696003557</v>
      </c>
      <c r="AD53" s="24">
        <f>IF(AC53=0,0,ROUND(T53*P53/AC53+1E-9,2))</f>
        <v>0.85</v>
      </c>
      <c r="AE53" s="24">
        <f>IF(AC53=0,0,ROUND(X53*P53/AC53+1E-9,2))</f>
        <v>0</v>
      </c>
      <c r="AF53" s="24">
        <f>IF(AC53=0,0,ROUND(AB53*P53/AC53+1E-9,2))</f>
        <v>3.72</v>
      </c>
      <c r="AG53" s="24">
        <v>0</v>
      </c>
      <c r="AH53" s="35">
        <f>ROUND(AD53+AE53+AF53+AG53+1E-9,2)</f>
        <v>4.57</v>
      </c>
    </row>
    <row r="54" spans="1:34" x14ac:dyDescent="0.25">
      <c r="A54" s="13" t="s">
        <v>94</v>
      </c>
      <c r="B54" s="23">
        <v>2</v>
      </c>
      <c r="C54" s="18">
        <f>IF(ROUND(D54/12,0)&gt;10,CHOOSE(B54,1,5,10,ROUND(D54/12,0)),CHOOSE(B54,1,3,5,ROUND(D54/12,0)))</f>
        <v>3</v>
      </c>
      <c r="D54" s="23">
        <v>120</v>
      </c>
      <c r="E54" s="18">
        <f>C54*12</f>
        <v>36</v>
      </c>
      <c r="F54" s="17">
        <f>INDEX('Fee Switch-Off'!$F$5:$F$30,MATCH($A54,'Fee Switch-Off'!$A$5:$A$30,0))</f>
        <v>5000</v>
      </c>
      <c r="G54" s="32">
        <v>8.6</v>
      </c>
      <c r="H54" s="24">
        <f>IF(ISNUMBER(SEARCH("TFI",INDEX('Fee Switch-Off'!$C$5:$C$30,MATCH($A54,'Fee Switch-Off'!$A$5:$A$30,0)))),Assumptions!$B$8,Assumptions!$B$7)</f>
        <v>0.85</v>
      </c>
      <c r="I54" s="16">
        <f>INDEX('Quote Summary'!$E$5:$E$30,MATCH($A54,'Quote Summary'!$A$5:$A$30,0))</f>
        <v>0</v>
      </c>
      <c r="J54" s="24">
        <f>Assumptions!$B$9</f>
        <v>0.35</v>
      </c>
      <c r="K54" s="16">
        <f>Assumptions!$B$10</f>
        <v>1.725</v>
      </c>
      <c r="L54" s="24">
        <f>Assumptions!$B$11</f>
        <v>0</v>
      </c>
      <c r="M54" s="33">
        <f>(G54-(H54+J54+I54+L54))/100</f>
        <v>0.074</v>
      </c>
      <c r="N54" s="17">
        <f>F54*(1-(K54)/100)*(((1+M54)^(E54/12)-1)/((1+M54)^(1/12)-1))*(1+M54)^(1/12)</f>
        <v>197853.1142451037</v>
      </c>
      <c r="O54" s="33">
        <f>(1+RATE(E54,-F54,0,N54,1))^12-1</f>
        <v>0.06231810471937438</v>
      </c>
      <c r="P54" s="34">
        <f>(G54/100-O54)*100</f>
        <v>2.3681895280625613</v>
      </c>
      <c r="Q54" s="33">
        <f>(G54-(H54))/100</f>
        <v>0.07749999999999999</v>
      </c>
      <c r="R54" s="17">
        <f>F54*(1-(0)/100)*(((1+Q54)^(E54/12)-1)/((1+Q54)^(1/12)-1))*(1+Q54)^(1/12)</f>
        <v>202374.35004996683</v>
      </c>
      <c r="S54" s="33">
        <f>(1+RATE(E54,-F54,0,R54,1))^12-1</f>
        <v>0.07749999999999724</v>
      </c>
      <c r="T54" s="34">
        <f>(G54/100-S54)*100</f>
        <v>0.8500000000002755</v>
      </c>
      <c r="U54" s="33">
        <f>(G54-(I54))/100</f>
        <v>0.086</v>
      </c>
      <c r="V54" s="17">
        <f>F54*(1-(0)/100)*(((1+U54)^(E54/12)-1)/((1+U54)^(1/12)-1))*(1+U54)^(1/12)</f>
        <v>204935.5177759839</v>
      </c>
      <c r="W54" s="33">
        <f>(1+RATE(E54,-F54,0,V54,1))^12-1</f>
        <v>0.08600000000000052</v>
      </c>
      <c r="X54" s="34">
        <f>(G54/100-W54)*100</f>
        <v>-5.2735593669694936e-14</v>
      </c>
      <c r="Y54" s="33">
        <f>(G54-(J54))/100</f>
        <v>0.08249999999999999</v>
      </c>
      <c r="Z54" s="17">
        <f>F54*(1-(K54)/100)*(((1+Y54)^(E54/12)-1)/((1+Y54)^(1/12)-1))*(1+Y54)^(1/12)</f>
        <v>200361.41638160663</v>
      </c>
      <c r="AA54" s="33">
        <f>(1+RATE(E54,-F54,0,Z54,1))^12-1</f>
        <v>0.07076898757726391</v>
      </c>
      <c r="AB54" s="34">
        <f>(G54/100-AA54)*100</f>
        <v>1.5231012422736083</v>
      </c>
      <c r="AC54" s="34">
        <f>T54+X54+AB54</f>
        <v>2.3731012422738313</v>
      </c>
      <c r="AD54" s="24">
        <f>IF(AC54=0,0,ROUND(T54*P54/AC54+1E-9,2))</f>
        <v>0.85</v>
      </c>
      <c r="AE54" s="24">
        <f>IF(AC54=0,0,ROUND(X54*P54/AC54+1E-9,2))</f>
        <v>0</v>
      </c>
      <c r="AF54" s="24">
        <f>IF(AC54=0,0,ROUND(AB54*P54/AC54+1E-9,2))</f>
        <v>1.52</v>
      </c>
      <c r="AG54" s="24">
        <v>0</v>
      </c>
      <c r="AH54" s="35">
        <f>ROUND(AD54+AE54+AF54+AG54+1E-9,2)</f>
        <v>2.37</v>
      </c>
    </row>
    <row r="55" spans="1:34" x14ac:dyDescent="0.25">
      <c r="A55" s="13" t="s">
        <v>94</v>
      </c>
      <c r="B55" s="23">
        <v>3</v>
      </c>
      <c r="C55" s="18">
        <f>IF(ROUND(D55/12,0)&gt;10,CHOOSE(B55,1,5,10,ROUND(D55/12,0)),CHOOSE(B55,1,3,5,ROUND(D55/12,0)))</f>
        <v>5</v>
      </c>
      <c r="D55" s="23">
        <v>120</v>
      </c>
      <c r="E55" s="18">
        <f>C55*12</f>
        <v>60</v>
      </c>
      <c r="F55" s="17">
        <f>INDEX('Fee Switch-Off'!$F$5:$F$30,MATCH($A55,'Fee Switch-Off'!$A$5:$A$30,0))</f>
        <v>5000</v>
      </c>
      <c r="G55" s="32">
        <v>8.6</v>
      </c>
      <c r="H55" s="24">
        <f>IF(ISNUMBER(SEARCH("TFI",INDEX('Fee Switch-Off'!$C$5:$C$30,MATCH($A55,'Fee Switch-Off'!$A$5:$A$30,0)))),Assumptions!$B$8,Assumptions!$B$7)</f>
        <v>0.85</v>
      </c>
      <c r="I55" s="16">
        <f>INDEX('Quote Summary'!$E$5:$E$30,MATCH($A55,'Quote Summary'!$A$5:$A$30,0))</f>
        <v>0</v>
      </c>
      <c r="J55" s="24">
        <f>Assumptions!$B$9</f>
        <v>0.35</v>
      </c>
      <c r="K55" s="16">
        <f>Assumptions!$B$10</f>
        <v>1.725</v>
      </c>
      <c r="L55" s="24">
        <f>Assumptions!$B$11</f>
        <v>0</v>
      </c>
      <c r="M55" s="33">
        <f>(G55-(H55+J55+I55+L55))/100</f>
        <v>0.074</v>
      </c>
      <c r="N55" s="17">
        <f>F55*(1-(K55)/100)*(((1+M55)^(E55/12)-1)/((1+M55)^(1/12)-1))*(1+M55)^(1/12)</f>
        <v>355360.6965294981</v>
      </c>
      <c r="O55" s="33">
        <f>(1+RATE(E55,-F55,0,N55,1))^12-1</f>
        <v>0.06705798708496058</v>
      </c>
      <c r="P55" s="34">
        <f>(G55/100-O55)*100</f>
        <v>1.8942012915039412</v>
      </c>
      <c r="Q55" s="33">
        <f>(G55-(H55))/100</f>
        <v>0.07749999999999999</v>
      </c>
      <c r="R55" s="17">
        <f>F55*(1-(0)/100)*(((1+Q55)^(E55/12)-1)/((1+Q55)^(1/12)-1))*(1+Q55)^(1/12)</f>
        <v>364780.92086135776</v>
      </c>
      <c r="S55" s="33">
        <f>(1+RATE(E55,-F55,0,R55,1))^12-1</f>
        <v>0.07749999999999724</v>
      </c>
      <c r="T55" s="34">
        <f>(G55/100-S55)*100</f>
        <v>0.8500000000002755</v>
      </c>
      <c r="U55" s="33">
        <f>(G55-(I55))/100</f>
        <v>0.086</v>
      </c>
      <c r="V55" s="17">
        <f>F55*(1-(0)/100)*(((1+U55)^(E55/12)-1)/((1+U55)^(1/12)-1))*(1+U55)^(1/12)</f>
        <v>372617.0202727328</v>
      </c>
      <c r="W55" s="33">
        <f>(1+RATE(E55,-F55,0,V55,1))^12-1</f>
        <v>0.08600000000000052</v>
      </c>
      <c r="X55" s="34">
        <f>(G55/100-W55)*100</f>
        <v>-5.2735593669694936e-14</v>
      </c>
      <c r="Y55" s="33">
        <f>(G55-(J55))/100</f>
        <v>0.08249999999999999</v>
      </c>
      <c r="Z55" s="17">
        <f>F55*(1-(K55)/100)*(((1+Y55)^(E55/12)-1)/((1+Y55)^(1/12)-1))*(1+Y55)^(1/12)</f>
        <v>363000.30502829904</v>
      </c>
      <c r="AA55" s="33">
        <f>(1+RATE(E55,-F55,0,Z55,1))^12-1</f>
        <v>0.07554529256485698</v>
      </c>
      <c r="AB55" s="34">
        <f>(G55/100-AA55)*100</f>
        <v>1.0454707435143011</v>
      </c>
      <c r="AC55" s="34">
        <f>T55+X55+AB55</f>
        <v>1.895470743514524</v>
      </c>
      <c r="AD55" s="24">
        <f>IF(AC55=0,0,ROUND(T55*P55/AC55+1E-9,2))</f>
        <v>0.85</v>
      </c>
      <c r="AE55" s="24">
        <f>IF(AC55=0,0,ROUND(X55*P55/AC55+1E-9,2))</f>
        <v>0</v>
      </c>
      <c r="AF55" s="24">
        <f>IF(AC55=0,0,ROUND(AB55*P55/AC55+1E-9,2))</f>
        <v>1.04</v>
      </c>
      <c r="AG55" s="24">
        <v>0</v>
      </c>
      <c r="AH55" s="35">
        <f>ROUND(AD55+AE55+AF55+AG55+1E-9,2)</f>
        <v>1.89</v>
      </c>
    </row>
    <row r="56" spans="1:34" x14ac:dyDescent="0.25">
      <c r="A56" s="13" t="s">
        <v>94</v>
      </c>
      <c r="B56" s="23">
        <v>4</v>
      </c>
      <c r="C56" s="18">
        <f>IF(ROUND(D56/12,0)&gt;10,CHOOSE(B56,1,5,10,ROUND(D56/12,0)),CHOOSE(B56,1,3,5,ROUND(D56/12,0)))</f>
        <v>10</v>
      </c>
      <c r="D56" s="23">
        <v>120</v>
      </c>
      <c r="E56" s="18">
        <f>C56*12</f>
        <v>120</v>
      </c>
      <c r="F56" s="17">
        <f>INDEX('Fee Switch-Off'!$F$5:$F$30,MATCH($A56,'Fee Switch-Off'!$A$5:$A$30,0))</f>
        <v>5000</v>
      </c>
      <c r="G56" s="32">
        <v>8.6</v>
      </c>
      <c r="H56" s="24">
        <f>IF(ISNUMBER(SEARCH("TFI",INDEX('Fee Switch-Off'!$C$5:$C$30,MATCH($A56,'Fee Switch-Off'!$A$5:$A$30,0)))),Assumptions!$B$8,Assumptions!$B$7)</f>
        <v>0.85</v>
      </c>
      <c r="I56" s="16">
        <f>INDEX('Quote Summary'!$E$5:$E$30,MATCH($A56,'Quote Summary'!$A$5:$A$30,0))</f>
        <v>0</v>
      </c>
      <c r="J56" s="24">
        <f>Assumptions!$B$9</f>
        <v>0.35</v>
      </c>
      <c r="K56" s="16">
        <f>Assumptions!$B$10</f>
        <v>1.725</v>
      </c>
      <c r="L56" s="24">
        <f>Assumptions!$B$11</f>
        <v>0</v>
      </c>
      <c r="M56" s="33">
        <f>(G56-(H56+J56+I56+L56))/100</f>
        <v>0.074</v>
      </c>
      <c r="N56" s="17">
        <f>F56*(1-(K56)/100)*(((1+M56)^(E56/12)-1)/((1+M56)^(1/12)-1))*(1+M56)^(1/12)</f>
        <v>863158.4781461784</v>
      </c>
      <c r="O56" s="33">
        <f>(1+RATE(E56,-F56,0,N56,1))^12-1</f>
        <v>0.07067923499539464</v>
      </c>
      <c r="P56" s="34">
        <f>(G56/100-O56)*100</f>
        <v>1.5320765004605357</v>
      </c>
      <c r="Q56" s="33">
        <f>(G56-(H56))/100</f>
        <v>0.07749999999999999</v>
      </c>
      <c r="R56" s="17">
        <f>F56*(1-(0)/100)*(((1+Q56)^(E56/12)-1)/((1+Q56)^(1/12)-1))*(1+Q56)^(1/12)</f>
        <v>894588.9180953272</v>
      </c>
      <c r="S56" s="33">
        <f>(1+RATE(E56,-F56,0,R56,1))^12-1</f>
        <v>0.07750000000000301</v>
      </c>
      <c r="T56" s="34">
        <f>(G56/100-S56)*100</f>
        <v>0.8499999999996982</v>
      </c>
      <c r="U56" s="33">
        <f>(G56-(I56))/100</f>
        <v>0.086</v>
      </c>
      <c r="V56" s="17">
        <f>F56*(1-(0)/100)*(((1+U56)^(E56/12)-1)/((1+U56)^(1/12)-1))*(1+U56)^(1/12)</f>
        <v>935491.8321630369</v>
      </c>
      <c r="W56" s="33">
        <f>(1+RATE(E56,-F56,0,V56,1))^12-1</f>
        <v>0.08600000000000052</v>
      </c>
      <c r="X56" s="34">
        <f>(G56/100-W56)*100</f>
        <v>-5.2735593669694936e-14</v>
      </c>
      <c r="Y56" s="33">
        <f>(G56-(J56))/100</f>
        <v>0.08249999999999999</v>
      </c>
      <c r="Z56" s="17">
        <f>F56*(1-(K56)/100)*(((1+Y56)^(E56/12)-1)/((1+Y56)^(1/12)-1))*(1+Y56)^(1/12)</f>
        <v>902568.7149101173</v>
      </c>
      <c r="AA56" s="33">
        <f>(1+RATE(E56,-F56,0,Z56,1))^12-1</f>
        <v>0.07919063451727903</v>
      </c>
      <c r="AB56" s="34">
        <f>(G56/100-AA56)*100</f>
        <v>0.6809365482720958</v>
      </c>
      <c r="AC56" s="34">
        <f>T56+X56+AB56</f>
        <v>1.5309365482717414</v>
      </c>
      <c r="AD56" s="24">
        <f>IF(AC56=0,0,ROUND(T56*P56/AC56+1E-9,2))</f>
        <v>0.85</v>
      </c>
      <c r="AE56" s="24">
        <f>IF(AC56=0,0,ROUND(X56*P56/AC56+1E-9,2))</f>
        <v>0</v>
      </c>
      <c r="AF56" s="24">
        <f>IF(AC56=0,0,ROUND(AB56*P56/AC56+1E-9,2))</f>
        <v>0.68</v>
      </c>
      <c r="AG56" s="24">
        <v>0</v>
      </c>
      <c r="AH56" s="35">
        <f>ROUND(AD56+AE56+AF56+AG56+1E-9,2)</f>
        <v>1.53</v>
      </c>
    </row>
    <row r="57" spans="1:34" x14ac:dyDescent="0.25">
      <c r="A57" s="13" t="s">
        <v>96</v>
      </c>
      <c r="B57" s="23">
        <v>1</v>
      </c>
      <c r="C57" s="18">
        <f>IF(ROUND(D57/12,0)&gt;10,CHOOSE(B57,1,5,10,ROUND(D57/12,0)),CHOOSE(B57,1,3,5,ROUND(D57/12,0)))</f>
        <v>1</v>
      </c>
      <c r="D57" s="23">
        <v>240</v>
      </c>
      <c r="E57" s="18">
        <f>C57*12</f>
        <v>12</v>
      </c>
      <c r="F57" s="17">
        <f>INDEX('Fee Switch-Off'!$F$5:$F$30,MATCH($A57,'Fee Switch-Off'!$A$5:$A$30,0))</f>
        <v>2200</v>
      </c>
      <c r="G57" s="32">
        <v>9.05</v>
      </c>
      <c r="H57" s="24">
        <f>IF(ISNUMBER(SEARCH("TFI",INDEX('Fee Switch-Off'!$C$5:$C$30,MATCH($A57,'Fee Switch-Off'!$A$5:$A$30,0)))),Assumptions!$B$8,Assumptions!$B$7)</f>
        <v>0.85</v>
      </c>
      <c r="I57" s="16">
        <f>INDEX('Quote Summary'!$E$5:$E$30,MATCH($A57,'Quote Summary'!$A$5:$A$30,0))</f>
        <v>0</v>
      </c>
      <c r="J57" s="24">
        <f>Assumptions!$B$9</f>
        <v>0.35</v>
      </c>
      <c r="K57" s="16">
        <f>Assumptions!$B$10</f>
        <v>1.725</v>
      </c>
      <c r="L57" s="24">
        <f>Assumptions!$B$11</f>
        <v>0</v>
      </c>
      <c r="M57" s="33">
        <f>(G57-(H57+J57+I57+L57))/100</f>
        <v>0.07850000000000001</v>
      </c>
      <c r="N57" s="17">
        <f>F57*(1-(K57)/100)*(((1+M57)^(E57/12)-1)/((1+M57)^(1/12)-1))*(1+M57)^(1/12)</f>
        <v>27035.05029088954</v>
      </c>
      <c r="O57" s="33">
        <f>(1+RATE(E57,-F57,0,N57,1))^12-1</f>
        <v>0.044707843178733775</v>
      </c>
      <c r="P57" s="34">
        <f>(G57/100-O57)*100</f>
        <v>4.579215682126623</v>
      </c>
      <c r="Q57" s="33">
        <f>(G57-(H57))/100</f>
        <v>0.08200000000000002</v>
      </c>
      <c r="R57" s="17">
        <f>F57*(1-(0)/100)*(((1+Q57)^(E57/12)-1)/((1+Q57)^(1/12)-1))*(1+Q57)^(1/12)</f>
        <v>27558.48266745829</v>
      </c>
      <c r="S57" s="33">
        <f>(1+RATE(E57,-F57,0,R57,1))^12-1</f>
        <v>0.08199999999999474</v>
      </c>
      <c r="T57" s="34">
        <f>(G57/100-S57)*100</f>
        <v>0.8500000000005268</v>
      </c>
      <c r="U57" s="33">
        <f>(G57-(I57))/100</f>
        <v>0.09050000000000001</v>
      </c>
      <c r="V57" s="17">
        <f>F57*(1-(0)/100)*(((1+U57)^(E57/12)-1)/((1+U57)^(1/12)-1))*(1+U57)^(1/12)</f>
        <v>27677.02265542398</v>
      </c>
      <c r="W57" s="33">
        <f>(1+RATE(E57,-F57,0,V57,1))^12-1</f>
        <v>0.0904999999999958</v>
      </c>
      <c r="X57" s="34">
        <f>(G57/100-W57)*100</f>
        <v>4.2049697057677804e-13</v>
      </c>
      <c r="Y57" s="33">
        <f>(G57-(J57))/100</f>
        <v>0.08700000000000001</v>
      </c>
      <c r="Z57" s="17">
        <f>F57*(1-(K57)/100)*(((1+Y57)^(E57/12)-1)/((1+Y57)^(1/12)-1))*(1+Y57)^(1/12)</f>
        <v>27151.65859627685</v>
      </c>
      <c r="AA57" s="33">
        <f>(1+RATE(E57,-F57,0,Z57,1))^12-1</f>
        <v>0.05298139645956401</v>
      </c>
      <c r="AB57" s="34">
        <f>(G57/100-AA57)*100</f>
        <v>3.7518603540436</v>
      </c>
      <c r="AC57" s="34">
        <f>T57+X57+AB57</f>
        <v>4.601860354044547</v>
      </c>
      <c r="AD57" s="24">
        <f>IF(AC57=0,0,ROUND(T57*P57/AC57+1E-9,2))</f>
        <v>0.85</v>
      </c>
      <c r="AE57" s="24">
        <f>IF(AC57=0,0,ROUND(X57*P57/AC57+1E-9,2))</f>
        <v>0</v>
      </c>
      <c r="AF57" s="24">
        <f>IF(AC57=0,0,ROUND(AB57*P57/AC57+1E-9,2))</f>
        <v>3.73</v>
      </c>
      <c r="AG57" s="24">
        <v>0</v>
      </c>
      <c r="AH57" s="35">
        <f>ROUND(AD57+AE57+AF57+AG57+1E-9,2)</f>
        <v>4.58</v>
      </c>
    </row>
    <row r="58" spans="1:34" x14ac:dyDescent="0.25">
      <c r="A58" s="13" t="s">
        <v>96</v>
      </c>
      <c r="B58" s="23">
        <v>2</v>
      </c>
      <c r="C58" s="18">
        <f>IF(ROUND(D58/12,0)&gt;10,CHOOSE(B58,1,5,10,ROUND(D58/12,0)),CHOOSE(B58,1,3,5,ROUND(D58/12,0)))</f>
        <v>5</v>
      </c>
      <c r="D58" s="23">
        <v>240</v>
      </c>
      <c r="E58" s="18">
        <f>C58*12</f>
        <v>60</v>
      </c>
      <c r="F58" s="17">
        <f>INDEX('Fee Switch-Off'!$F$5:$F$30,MATCH($A58,'Fee Switch-Off'!$A$5:$A$30,0))</f>
        <v>2200</v>
      </c>
      <c r="G58" s="32">
        <v>9.05</v>
      </c>
      <c r="H58" s="24">
        <f>IF(ISNUMBER(SEARCH("TFI",INDEX('Fee Switch-Off'!$C$5:$C$30,MATCH($A58,'Fee Switch-Off'!$A$5:$A$30,0)))),Assumptions!$B$8,Assumptions!$B$7)</f>
        <v>0.85</v>
      </c>
      <c r="I58" s="16">
        <f>INDEX('Quote Summary'!$E$5:$E$30,MATCH($A58,'Quote Summary'!$A$5:$A$30,0))</f>
        <v>0</v>
      </c>
      <c r="J58" s="24">
        <f>Assumptions!$B$9</f>
        <v>0.35</v>
      </c>
      <c r="K58" s="16">
        <f>Assumptions!$B$10</f>
        <v>1.725</v>
      </c>
      <c r="L58" s="24">
        <f>Assumptions!$B$11</f>
        <v>0</v>
      </c>
      <c r="M58" s="33">
        <f>(G58-(H58+J58+I58+L58))/100</f>
        <v>0.07850000000000001</v>
      </c>
      <c r="N58" s="17">
        <f>F58*(1-(K58)/100)*(((1+M58)^(E58/12)-1)/((1+M58)^(1/12)-1))*(1+M58)^(1/12)</f>
        <v>158130.1491500209</v>
      </c>
      <c r="O58" s="33">
        <f>(1+RATE(E58,-F58,0,N58,1))^12-1</f>
        <v>0.0715512962394671</v>
      </c>
      <c r="P58" s="34">
        <f>(G58/100-O58)*100</f>
        <v>1.8948703760532912</v>
      </c>
      <c r="Q58" s="33">
        <f>(G58-(H58))/100</f>
        <v>0.08200000000000002</v>
      </c>
      <c r="R58" s="17">
        <f>F58*(1-(0)/100)*(((1+Q58)^(E58/12)-1)/((1+Q58)^(1/12)-1))*(1+Q58)^(1/12)</f>
        <v>162320.62180549282</v>
      </c>
      <c r="S58" s="33">
        <f>(1+RATE(E58,-F58,0,R58,1))^12-1</f>
        <v>0.08199999999999474</v>
      </c>
      <c r="T58" s="34">
        <f>(G58/100-S58)*100</f>
        <v>0.8500000000005268</v>
      </c>
      <c r="U58" s="33">
        <f>(G58-(I58))/100</f>
        <v>0.09050000000000001</v>
      </c>
      <c r="V58" s="17">
        <f>F58*(1-(0)/100)*(((1+U58)^(E58/12)-1)/((1+U58)^(1/12)-1))*(1+U58)^(1/12)</f>
        <v>165804.06619339128</v>
      </c>
      <c r="W58" s="33">
        <f>(1+RATE(E58,-F58,0,V58,1))^12-1</f>
        <v>0.0904999999999958</v>
      </c>
      <c r="X58" s="34">
        <f>(G58/100-W58)*100</f>
        <v>4.2049697057677804e-13</v>
      </c>
      <c r="Y58" s="33">
        <f>(G58-(J58))/100</f>
        <v>0.08700000000000001</v>
      </c>
      <c r="Z58" s="17">
        <f>F58*(1-(K58)/100)*(((1+Y58)^(E58/12)-1)/((1+Y58)^(1/12)-1))*(1+Y58)^(1/12)</f>
        <v>161526.29775453178</v>
      </c>
      <c r="AA58" s="33">
        <f>(1+RATE(E58,-F58,0,Z58,1))^12-1</f>
        <v>0.08003847547779963</v>
      </c>
      <c r="AB58" s="34">
        <f>(G58/100-AA58)*100</f>
        <v>1.046152452220038</v>
      </c>
      <c r="AC58" s="34">
        <f>T58+X58+AB58</f>
        <v>1.8961524522209854</v>
      </c>
      <c r="AD58" s="24">
        <f>IF(AC58=0,0,ROUND(T58*P58/AC58+1E-9,2))</f>
        <v>0.85</v>
      </c>
      <c r="AE58" s="24">
        <f>IF(AC58=0,0,ROUND(X58*P58/AC58+1E-9,2))</f>
        <v>0</v>
      </c>
      <c r="AF58" s="24">
        <f>IF(AC58=0,0,ROUND(AB58*P58/AC58+1E-9,2))</f>
        <v>1.05</v>
      </c>
      <c r="AG58" s="24">
        <v>0</v>
      </c>
      <c r="AH58" s="35">
        <f>ROUND(AD58+AE58+AF58+AG58+1E-9,2)</f>
        <v>1.9</v>
      </c>
    </row>
    <row r="59" spans="1:34" x14ac:dyDescent="0.25">
      <c r="A59" s="13" t="s">
        <v>96</v>
      </c>
      <c r="B59" s="23">
        <v>3</v>
      </c>
      <c r="C59" s="18">
        <f>IF(ROUND(D59/12,0)&gt;10,CHOOSE(B59,1,5,10,ROUND(D59/12,0)),CHOOSE(B59,1,3,5,ROUND(D59/12,0)))</f>
        <v>10</v>
      </c>
      <c r="D59" s="23">
        <v>240</v>
      </c>
      <c r="E59" s="18">
        <f>C59*12</f>
        <v>120</v>
      </c>
      <c r="F59" s="17">
        <f>INDEX('Fee Switch-Off'!$F$5:$F$30,MATCH($A59,'Fee Switch-Off'!$A$5:$A$30,0))</f>
        <v>2200</v>
      </c>
      <c r="G59" s="32">
        <v>9.05</v>
      </c>
      <c r="H59" s="24">
        <f>IF(ISNUMBER(SEARCH("TFI",INDEX('Fee Switch-Off'!$C$5:$C$30,MATCH($A59,'Fee Switch-Off'!$A$5:$A$30,0)))),Assumptions!$B$8,Assumptions!$B$7)</f>
        <v>0.85</v>
      </c>
      <c r="I59" s="16">
        <f>INDEX('Quote Summary'!$E$5:$E$30,MATCH($A59,'Quote Summary'!$A$5:$A$30,0))</f>
        <v>0</v>
      </c>
      <c r="J59" s="24">
        <f>Assumptions!$B$9</f>
        <v>0.35</v>
      </c>
      <c r="K59" s="16">
        <f>Assumptions!$B$10</f>
        <v>1.725</v>
      </c>
      <c r="L59" s="24">
        <f>Assumptions!$B$11</f>
        <v>0</v>
      </c>
      <c r="M59" s="33">
        <f>(G59-(H59+J59+I59+L59))/100</f>
        <v>0.07850000000000001</v>
      </c>
      <c r="N59" s="17">
        <f>F59*(1-(K59)/100)*(((1+M59)^(E59/12)-1)/((1+M59)^(1/12)-1))*(1+M59)^(1/12)</f>
        <v>388866.1854129198</v>
      </c>
      <c r="O59" s="33">
        <f>(1+RATE(E59,-F59,0,N59,1))^12-1</f>
        <v>0.07518536614203963</v>
      </c>
      <c r="P59" s="34">
        <f>(G59/100-O59)*100</f>
        <v>1.5314633857960378</v>
      </c>
      <c r="Q59" s="33">
        <f>(G59-(H59))/100</f>
        <v>0.08200000000000002</v>
      </c>
      <c r="R59" s="17">
        <f>F59*(1-(0)/100)*(((1+Q59)^(E59/12)-1)/((1+Q59)^(1/12)-1))*(1+Q59)^(1/12)</f>
        <v>403039.41725730227</v>
      </c>
      <c r="S59" s="33">
        <f>(1+RATE(E59,-F59,0,R59,1))^12-1</f>
        <v>0.08200000000000052</v>
      </c>
      <c r="T59" s="34">
        <f>(G59/100-S59)*100</f>
        <v>0.8499999999999495</v>
      </c>
      <c r="U59" s="33">
        <f>(G59-(I59))/100</f>
        <v>0.09050000000000001</v>
      </c>
      <c r="V59" s="17">
        <f>F59*(1-(0)/100)*(((1+U59)^(E59/12)-1)/((1+U59)^(1/12)-1))*(1+U59)^(1/12)</f>
        <v>421499.82623410283</v>
      </c>
      <c r="W59" s="33">
        <f>(1+RATE(E59,-F59,0,V59,1))^12-1</f>
        <v>0.0904999999999958</v>
      </c>
      <c r="X59" s="34">
        <f>(G59/100-W59)*100</f>
        <v>4.2049697057677804e-13</v>
      </c>
      <c r="Y59" s="33">
        <f>(G59-(J59))/100</f>
        <v>0.08700000000000001</v>
      </c>
      <c r="Z59" s="17">
        <f>F59*(1-(K59)/100)*(((1+Y59)^(E59/12)-1)/((1+Y59)^(1/12)-1))*(1+Y59)^(1/12)</f>
        <v>406653.1901216548</v>
      </c>
      <c r="AA59" s="33">
        <f>(1+RATE(E59,-F59,0,Z59,1))^12-1</f>
        <v>0.08369635995207325</v>
      </c>
      <c r="AB59" s="34">
        <f>(G59/100-AA59)*100</f>
        <v>0.680364004792676</v>
      </c>
      <c r="AC59" s="34">
        <f>T59+X59+AB59</f>
        <v>1.530364004793046</v>
      </c>
      <c r="AD59" s="24">
        <f>IF(AC59=0,0,ROUND(T59*P59/AC59+1E-9,2))</f>
        <v>0.85</v>
      </c>
      <c r="AE59" s="24">
        <f>IF(AC59=0,0,ROUND(X59*P59/AC59+1E-9,2))</f>
        <v>0</v>
      </c>
      <c r="AF59" s="24">
        <f>IF(AC59=0,0,ROUND(AB59*P59/AC59+1E-9,2))</f>
        <v>0.68</v>
      </c>
      <c r="AG59" s="24">
        <v>0</v>
      </c>
      <c r="AH59" s="35">
        <f>ROUND(AD59+AE59+AF59+AG59+1E-9,2)</f>
        <v>1.53</v>
      </c>
    </row>
    <row r="60" spans="1:34" x14ac:dyDescent="0.25">
      <c r="A60" s="13" t="s">
        <v>96</v>
      </c>
      <c r="B60" s="23">
        <v>4</v>
      </c>
      <c r="C60" s="18">
        <f>IF(ROUND(D60/12,0)&gt;10,CHOOSE(B60,1,5,10,ROUND(D60/12,0)),CHOOSE(B60,1,3,5,ROUND(D60/12,0)))</f>
        <v>20</v>
      </c>
      <c r="D60" s="23">
        <v>240</v>
      </c>
      <c r="E60" s="18">
        <f>C60*12</f>
        <v>240</v>
      </c>
      <c r="F60" s="17">
        <f>INDEX('Fee Switch-Off'!$F$5:$F$30,MATCH($A60,'Fee Switch-Off'!$A$5:$A$30,0))</f>
        <v>2200</v>
      </c>
      <c r="G60" s="32">
        <v>9.05</v>
      </c>
      <c r="H60" s="24">
        <f>IF(ISNUMBER(SEARCH("TFI",INDEX('Fee Switch-Off'!$C$5:$C$30,MATCH($A60,'Fee Switch-Off'!$A$5:$A$30,0)))),Assumptions!$B$8,Assumptions!$B$7)</f>
        <v>0.85</v>
      </c>
      <c r="I60" s="16">
        <f>INDEX('Quote Summary'!$E$5:$E$30,MATCH($A60,'Quote Summary'!$A$5:$A$30,0))</f>
        <v>0</v>
      </c>
      <c r="J60" s="24">
        <f>Assumptions!$B$9</f>
        <v>0.35</v>
      </c>
      <c r="K60" s="16">
        <f>Assumptions!$B$10</f>
        <v>1.725</v>
      </c>
      <c r="L60" s="24">
        <f>Assumptions!$B$11</f>
        <v>0</v>
      </c>
      <c r="M60" s="33">
        <f>(G60-(H60+J60+I60+L60))/100</f>
        <v>0.07850000000000001</v>
      </c>
      <c r="N60" s="17">
        <f>F60*(1-(K60)/100)*(((1+M60)^(E60/12)-1)/((1+M60)^(1/12)-1))*(1+M60)^(1/12)</f>
        <v>1216811.541001135</v>
      </c>
      <c r="O60" s="33">
        <f>(1+RATE(E60,-F60,0,N60,1))^12-1</f>
        <v>0.07699356240541744</v>
      </c>
      <c r="P60" s="34">
        <f>(G60/100-O60)*100</f>
        <v>1.3506437594582574</v>
      </c>
      <c r="Q60" s="33">
        <f>(G60-(H60))/100</f>
        <v>0.08200000000000002</v>
      </c>
      <c r="R60" s="17">
        <f>F60*(1-(0)/100)*(((1+Q60)^(E60/12)-1)/((1+Q60)^(1/12)-1))*(1+Q60)^(1/12)</f>
        <v>1289419.7881333432</v>
      </c>
      <c r="S60" s="33">
        <f>(1+RATE(E60,-F60,0,R60,1))^12-1</f>
        <v>0.08200000000000052</v>
      </c>
      <c r="T60" s="34">
        <f>(G60/100-S60)*100</f>
        <v>0.8499999999999495</v>
      </c>
      <c r="U60" s="33">
        <f>(G60-(I60))/100</f>
        <v>0.09050000000000001</v>
      </c>
      <c r="V60" s="17">
        <f>F60*(1-(0)/100)*(((1+U60)^(E60/12)-1)/((1+U60)^(1/12)-1))*(1+U60)^(1/12)</f>
        <v>1423929.926953153</v>
      </c>
      <c r="W60" s="33">
        <f>(1+RATE(E60,-F60,0,V60,1))^12-1</f>
        <v>0.0904999999999958</v>
      </c>
      <c r="X60" s="34">
        <f>(G60/100-W60)*100</f>
        <v>4.2049697057677804e-13</v>
      </c>
      <c r="Y60" s="33">
        <f>(G60-(J60))/100</f>
        <v>0.08700000000000001</v>
      </c>
      <c r="Z60" s="17">
        <f>F60*(1-(K60)/100)*(((1+Y60)^(E60/12)-1)/((1+Y60)^(1/12)-1))*(1+Y60)^(1/12)</f>
        <v>1343178.7278616938</v>
      </c>
      <c r="AA60" s="33">
        <f>(1+RATE(E60,-F60,0,Z60,1))^12-1</f>
        <v>0.08550950574718996</v>
      </c>
      <c r="AB60" s="34">
        <f>(G60/100-AA60)*100</f>
        <v>0.4990494252810049</v>
      </c>
      <c r="AC60" s="34">
        <f>T60+X60+AB60</f>
        <v>1.349049425281375</v>
      </c>
      <c r="AD60" s="24">
        <f>IF(AC60=0,0,ROUND(T60*P60/AC60+1E-9,2))</f>
        <v>0.85</v>
      </c>
      <c r="AE60" s="24">
        <f>IF(AC60=0,0,ROUND(X60*P60/AC60+1E-9,2))</f>
        <v>0</v>
      </c>
      <c r="AF60" s="24">
        <f>IF(AC60=0,0,ROUND(AB60*P60/AC60+1E-9,2))</f>
        <v>0.5</v>
      </c>
      <c r="AG60" s="24">
        <v>0</v>
      </c>
      <c r="AH60" s="35">
        <f>ROUND(AD60+AE60+AF60+AG60+1E-9,2)</f>
        <v>1.35</v>
      </c>
    </row>
    <row r="61" spans="1:34" x14ac:dyDescent="0.25">
      <c r="A61" s="13" t="s">
        <v>98</v>
      </c>
      <c r="B61" s="23">
        <v>1</v>
      </c>
      <c r="C61" s="18">
        <f>IF(ROUND(D61/12,0)&gt;10,CHOOSE(B61,1,5,10,ROUND(D61/12,0)),CHOOSE(B61,1,3,5,ROUND(D61/12,0)))</f>
        <v>1</v>
      </c>
      <c r="D61" s="23">
        <v>240</v>
      </c>
      <c r="E61" s="18">
        <f>C61*12</f>
        <v>12</v>
      </c>
      <c r="F61" s="17">
        <f>INDEX('Fee Switch-Off'!$F$5:$F$30,MATCH($A61,'Fee Switch-Off'!$A$5:$A$30,0))</f>
        <v>1400</v>
      </c>
      <c r="G61" s="32">
        <v>9.5</v>
      </c>
      <c r="H61" s="24">
        <f>IF(ISNUMBER(SEARCH("TFI",INDEX('Fee Switch-Off'!$C$5:$C$30,MATCH($A61,'Fee Switch-Off'!$A$5:$A$30,0)))),Assumptions!$B$8,Assumptions!$B$7)</f>
        <v>0.85</v>
      </c>
      <c r="I61" s="16">
        <f>INDEX('Quote Summary'!$E$5:$E$30,MATCH($A61,'Quote Summary'!$A$5:$A$30,0))</f>
        <v>0</v>
      </c>
      <c r="J61" s="24">
        <f>Assumptions!$B$9</f>
        <v>0.35</v>
      </c>
      <c r="K61" s="16">
        <f>Assumptions!$B$10</f>
        <v>1.725</v>
      </c>
      <c r="L61" s="24">
        <f>Assumptions!$B$11</f>
        <v>0</v>
      </c>
      <c r="M61" s="33">
        <f>(G61-(H61+J61+I61+L61))/100</f>
        <v>0.083</v>
      </c>
      <c r="N61" s="17">
        <f>F61*(1-(K61)/100)*(((1+M61)^(E61/12)-1)/((1+M61)^(1/12)-1))*(1+M61)^(1/12)</f>
        <v>17243.429892891443</v>
      </c>
      <c r="O61" s="33">
        <f>(1+RATE(E61,-F61,0,N61,1))^12-1</f>
        <v>0.04908793265047051</v>
      </c>
      <c r="P61" s="34">
        <f>(G61/100-O61)*100</f>
        <v>4.591206734952949</v>
      </c>
      <c r="Q61" s="33">
        <f>(G61-(H61))/100</f>
        <v>0.0865</v>
      </c>
      <c r="R61" s="17">
        <f>F61*(1-(0)/100)*(((1+Q61)^(E61/12)-1)/((1+Q61)^(1/12)-1))*(1+Q61)^(1/12)</f>
        <v>17577.17428038395</v>
      </c>
      <c r="S61" s="33">
        <f>(1+RATE(E61,-F61,0,R61,1))^12-1</f>
        <v>0.08649999999999047</v>
      </c>
      <c r="T61" s="34">
        <f>(G61/100-S61)*100</f>
        <v>0.8500000000009528</v>
      </c>
      <c r="U61" s="33">
        <f>(G61-(I61))/100</f>
        <v>0.095</v>
      </c>
      <c r="V61" s="17">
        <f>F61*(1-(0)/100)*(((1+U61)^(E61/12)-1)/((1+U61)^(1/12)-1))*(1+U61)^(1/12)</f>
        <v>17652.515147944145</v>
      </c>
      <c r="W61" s="33">
        <f>(1+RATE(E61,-F61,0,V61,1))^12-1</f>
        <v>0.09499999999999909</v>
      </c>
      <c r="X61" s="34">
        <f>(G61/100-W61)*100</f>
        <v>9.159339953157541e-14</v>
      </c>
      <c r="Y61" s="33">
        <f>(G61-(J61))/100</f>
        <v>0.0915</v>
      </c>
      <c r="Z61" s="17">
        <f>F61*(1-(K61)/100)*(((1+Y61)^(E61/12)-1)/((1+Y61)^(1/12)-1))*(1+Y61)^(1/12)</f>
        <v>17317.542679126756</v>
      </c>
      <c r="AA61" s="33">
        <f>(1+RATE(E61,-F61,0,Z61,1))^12-1</f>
        <v>0.05736160024231984</v>
      </c>
      <c r="AB61" s="34">
        <f>(G61/100-AA61)*100</f>
        <v>3.7638399757680157</v>
      </c>
      <c r="AC61" s="34">
        <f>T61+X61+AB61</f>
        <v>4.61383997576906</v>
      </c>
      <c r="AD61" s="24">
        <f>IF(AC61=0,0,ROUND(T61*P61/AC61+1E-9,2))</f>
        <v>0.85</v>
      </c>
      <c r="AE61" s="24">
        <f>IF(AC61=0,0,ROUND(X61*P61/AC61+1E-9,2))</f>
        <v>0</v>
      </c>
      <c r="AF61" s="24">
        <f>IF(AC61=0,0,ROUND(AB61*P61/AC61+1E-9,2))</f>
        <v>3.75</v>
      </c>
      <c r="AG61" s="24">
        <v>0</v>
      </c>
      <c r="AH61" s="35">
        <f>ROUND(AD61+AE61+AF61+AG61+1E-9,2)</f>
        <v>4.6</v>
      </c>
    </row>
    <row r="62" spans="1:34" x14ac:dyDescent="0.25">
      <c r="A62" s="13" t="s">
        <v>98</v>
      </c>
      <c r="B62" s="23">
        <v>2</v>
      </c>
      <c r="C62" s="18">
        <f>IF(ROUND(D62/12,0)&gt;10,CHOOSE(B62,1,5,10,ROUND(D62/12,0)),CHOOSE(B62,1,3,5,ROUND(D62/12,0)))</f>
        <v>5</v>
      </c>
      <c r="D62" s="23">
        <v>240</v>
      </c>
      <c r="E62" s="18">
        <f>C62*12</f>
        <v>60</v>
      </c>
      <c r="F62" s="17">
        <f>INDEX('Fee Switch-Off'!$F$5:$F$30,MATCH($A62,'Fee Switch-Off'!$A$5:$A$30,0))</f>
        <v>1400</v>
      </c>
      <c r="G62" s="32">
        <v>9.5</v>
      </c>
      <c r="H62" s="24">
        <f>IF(ISNUMBER(SEARCH("TFI",INDEX('Fee Switch-Off'!$C$5:$C$30,MATCH($A62,'Fee Switch-Off'!$A$5:$A$30,0)))),Assumptions!$B$8,Assumptions!$B$7)</f>
        <v>0.85</v>
      </c>
      <c r="I62" s="16">
        <f>INDEX('Quote Summary'!$E$5:$E$30,MATCH($A62,'Quote Summary'!$A$5:$A$30,0))</f>
        <v>0</v>
      </c>
      <c r="J62" s="24">
        <f>Assumptions!$B$9</f>
        <v>0.35</v>
      </c>
      <c r="K62" s="16">
        <f>Assumptions!$B$10</f>
        <v>1.725</v>
      </c>
      <c r="L62" s="24">
        <f>Assumptions!$B$11</f>
        <v>0</v>
      </c>
      <c r="M62" s="33">
        <f>(G62-(H62+J62+I62+L62))/100</f>
        <v>0.083</v>
      </c>
      <c r="N62" s="17">
        <f>F62*(1-(K62)/100)*(((1+M62)^(E62/12)-1)/((1+M62)^(1/12)-1))*(1+M62)^(1/12)</f>
        <v>101767.21235034998</v>
      </c>
      <c r="O62" s="33">
        <f>(1+RATE(E62,-F62,0,N62,1))^12-1</f>
        <v>0.07604453839630732</v>
      </c>
      <c r="P62" s="34">
        <f>(G62/100-O62)*100</f>
        <v>1.8955461603692685</v>
      </c>
      <c r="Q62" s="33">
        <f>(G62-(H62))/100</f>
        <v>0.0865</v>
      </c>
      <c r="R62" s="17">
        <f>F62*(1-(0)/100)*(((1+Q62)^(E62/12)-1)/((1+Q62)^(1/12)-1))*(1+Q62)^(1/12)</f>
        <v>104463.16034001637</v>
      </c>
      <c r="S62" s="33">
        <f>(1+RATE(E62,-F62,0,R62,1))^12-1</f>
        <v>0.08650000000000202</v>
      </c>
      <c r="T62" s="34">
        <f>(G62/100-S62)*100</f>
        <v>0.8499999999997981</v>
      </c>
      <c r="U62" s="33">
        <f>(G62-(I62))/100</f>
        <v>0.095</v>
      </c>
      <c r="V62" s="17">
        <f>F62*(1-(0)/100)*(((1+U62)^(E62/12)-1)/((1+U62)^(1/12)-1))*(1+U62)^(1/12)</f>
        <v>106702.71655663577</v>
      </c>
      <c r="W62" s="33">
        <f>(1+RATE(E62,-F62,0,V62,1))^12-1</f>
        <v>0.09499999999999909</v>
      </c>
      <c r="X62" s="34">
        <f>(G62/100-W62)*100</f>
        <v>9.159339953157541e-14</v>
      </c>
      <c r="Y62" s="33">
        <f>(G62-(J62))/100</f>
        <v>0.0915</v>
      </c>
      <c r="Z62" s="17">
        <f>F62*(1-(K62)/100)*(((1+Y62)^(E62/12)-1)/((1+Y62)^(1/12)-1))*(1+Y62)^(1/12)</f>
        <v>103950.67823918459</v>
      </c>
      <c r="AA62" s="33">
        <f>(1+RATE(E62,-F62,0,Z62,1))^12-1</f>
        <v>0.08453159209247052</v>
      </c>
      <c r="AB62" s="34">
        <f>(G62/100-AA62)*100</f>
        <v>1.046840790752948</v>
      </c>
      <c r="AC62" s="34">
        <f>T62+X62+AB62</f>
        <v>1.8968407907528377</v>
      </c>
      <c r="AD62" s="24">
        <f>IF(AC62=0,0,ROUND(T62*P62/AC62+1E-9,2))</f>
        <v>0.85</v>
      </c>
      <c r="AE62" s="24">
        <f>IF(AC62=0,0,ROUND(X62*P62/AC62+1E-9,2))</f>
        <v>0</v>
      </c>
      <c r="AF62" s="24">
        <f>IF(AC62=0,0,ROUND(AB62*P62/AC62+1E-9,2))</f>
        <v>1.05</v>
      </c>
      <c r="AG62" s="24">
        <v>0</v>
      </c>
      <c r="AH62" s="35">
        <f>ROUND(AD62+AE62+AF62+AG62+1E-9,2)</f>
        <v>1.9</v>
      </c>
    </row>
    <row r="63" spans="1:34" x14ac:dyDescent="0.25">
      <c r="A63" s="13" t="s">
        <v>98</v>
      </c>
      <c r="B63" s="23">
        <v>3</v>
      </c>
      <c r="C63" s="18">
        <f>IF(ROUND(D63/12,0)&gt;10,CHOOSE(B63,1,5,10,ROUND(D63/12,0)),CHOOSE(B63,1,3,5,ROUND(D63/12,0)))</f>
        <v>10</v>
      </c>
      <c r="D63" s="23">
        <v>240</v>
      </c>
      <c r="E63" s="18">
        <f>C63*12</f>
        <v>120</v>
      </c>
      <c r="F63" s="17">
        <f>INDEX('Fee Switch-Off'!$F$5:$F$30,MATCH($A63,'Fee Switch-Off'!$A$5:$A$30,0))</f>
        <v>1400</v>
      </c>
      <c r="G63" s="32">
        <v>9.5</v>
      </c>
      <c r="H63" s="24">
        <f>IF(ISNUMBER(SEARCH("TFI",INDEX('Fee Switch-Off'!$C$5:$C$30,MATCH($A63,'Fee Switch-Off'!$A$5:$A$30,0)))),Assumptions!$B$8,Assumptions!$B$7)</f>
        <v>0.85</v>
      </c>
      <c r="I63" s="16">
        <f>INDEX('Quote Summary'!$E$5:$E$30,MATCH($A63,'Quote Summary'!$A$5:$A$30,0))</f>
        <v>0</v>
      </c>
      <c r="J63" s="24">
        <f>Assumptions!$B$9</f>
        <v>0.35</v>
      </c>
      <c r="K63" s="16">
        <f>Assumptions!$B$10</f>
        <v>1.725</v>
      </c>
      <c r="L63" s="24">
        <f>Assumptions!$B$11</f>
        <v>0</v>
      </c>
      <c r="M63" s="33">
        <f>(G63-(H63+J63+I63+L63))/100</f>
        <v>0.083</v>
      </c>
      <c r="N63" s="17">
        <f>F63*(1-(K63)/100)*(((1+M63)^(E63/12)-1)/((1+M63)^(1/12)-1))*(1+M63)^(1/12)</f>
        <v>253385.00214573284</v>
      </c>
      <c r="O63" s="33">
        <f>(1+RATE(E63,-F63,0,N63,1))^12-1</f>
        <v>0.07969128116254032</v>
      </c>
      <c r="P63" s="34">
        <f>(G63/100-O63)*100</f>
        <v>1.5308718837459683</v>
      </c>
      <c r="Q63" s="33">
        <f>(G63-(H63))/100</f>
        <v>0.0865</v>
      </c>
      <c r="R63" s="17">
        <f>F63*(1-(0)/100)*(((1+Q63)^(E63/12)-1)/((1+Q63)^(1/12)-1))*(1+Q63)^(1/12)</f>
        <v>262628.680430473</v>
      </c>
      <c r="S63" s="33">
        <f>(1+RATE(E63,-F63,0,R63,1))^12-1</f>
        <v>0.08649999999999625</v>
      </c>
      <c r="T63" s="34">
        <f>(G63/100-S63)*100</f>
        <v>0.8500000000003755</v>
      </c>
      <c r="U63" s="33">
        <f>(G63-(I63))/100</f>
        <v>0.095</v>
      </c>
      <c r="V63" s="17">
        <f>F63*(1-(0)/100)*(((1+U63)^(E63/12)-1)/((1+U63)^(1/12)-1))*(1+U63)^(1/12)</f>
        <v>274678.26672303077</v>
      </c>
      <c r="W63" s="33">
        <f>(1+RATE(E63,-F63,0,V63,1))^12-1</f>
        <v>0.09499999999999909</v>
      </c>
      <c r="X63" s="34">
        <f>(G63/100-W63)*100</f>
        <v>9.159339953157541e-14</v>
      </c>
      <c r="Y63" s="33">
        <f>(G63-(J63))/100</f>
        <v>0.0915</v>
      </c>
      <c r="Z63" s="17">
        <f>F63*(1-(K63)/100)*(((1+Y63)^(E63/12)-1)/((1+Y63)^(1/12)-1))*(1+Y63)^(1/12)</f>
        <v>264995.226501054</v>
      </c>
      <c r="AA63" s="33">
        <f>(1+RATE(E63,-F63,0,Z63,1))^12-1</f>
        <v>0.0882018749339688</v>
      </c>
      <c r="AB63" s="34">
        <f>(G63/100-AA63)*100</f>
        <v>0.6798125066031196</v>
      </c>
      <c r="AC63" s="34">
        <f>T63+X63+AB63</f>
        <v>1.5298125066035868</v>
      </c>
      <c r="AD63" s="24">
        <f>IF(AC63=0,0,ROUND(T63*P63/AC63+1E-9,2))</f>
        <v>0.85</v>
      </c>
      <c r="AE63" s="24">
        <f>IF(AC63=0,0,ROUND(X63*P63/AC63+1E-9,2))</f>
        <v>0</v>
      </c>
      <c r="AF63" s="24">
        <f>IF(AC63=0,0,ROUND(AB63*P63/AC63+1E-9,2))</f>
        <v>0.68</v>
      </c>
      <c r="AG63" s="24">
        <v>0</v>
      </c>
      <c r="AH63" s="35">
        <f>ROUND(AD63+AE63+AF63+AG63+1E-9,2)</f>
        <v>1.53</v>
      </c>
    </row>
    <row r="64" spans="1:34" x14ac:dyDescent="0.25">
      <c r="A64" s="13" t="s">
        <v>98</v>
      </c>
      <c r="B64" s="23">
        <v>4</v>
      </c>
      <c r="C64" s="18">
        <f>IF(ROUND(D64/12,0)&gt;10,CHOOSE(B64,1,5,10,ROUND(D64/12,0)),CHOOSE(B64,1,3,5,ROUND(D64/12,0)))</f>
        <v>20</v>
      </c>
      <c r="D64" s="23">
        <v>240</v>
      </c>
      <c r="E64" s="18">
        <f>C64*12</f>
        <v>240</v>
      </c>
      <c r="F64" s="17">
        <f>INDEX('Fee Switch-Off'!$F$5:$F$30,MATCH($A64,'Fee Switch-Off'!$A$5:$A$30,0))</f>
        <v>1400</v>
      </c>
      <c r="G64" s="32">
        <v>9.5</v>
      </c>
      <c r="H64" s="24">
        <f>IF(ISNUMBER(SEARCH("TFI",INDEX('Fee Switch-Off'!$C$5:$C$30,MATCH($A64,'Fee Switch-Off'!$A$5:$A$30,0)))),Assumptions!$B$8,Assumptions!$B$7)</f>
        <v>0.85</v>
      </c>
      <c r="I64" s="16">
        <f>INDEX('Quote Summary'!$E$5:$E$30,MATCH($A64,'Quote Summary'!$A$5:$A$30,0))</f>
        <v>0</v>
      </c>
      <c r="J64" s="24">
        <f>Assumptions!$B$9</f>
        <v>0.35</v>
      </c>
      <c r="K64" s="16">
        <f>Assumptions!$B$10</f>
        <v>1.725</v>
      </c>
      <c r="L64" s="24">
        <f>Assumptions!$B$11</f>
        <v>0</v>
      </c>
      <c r="M64" s="33">
        <f>(G64-(H64+J64+I64+L64))/100</f>
        <v>0.083</v>
      </c>
      <c r="N64" s="17">
        <f>F64*(1-(K64)/100)*(((1+M64)^(E64/12)-1)/((1+M64)^(1/12)-1))*(1+M64)^(1/12)</f>
        <v>815811.1089921866</v>
      </c>
      <c r="O64" s="33">
        <f>(1+RATE(E64,-F64,0,N64,1))^12-1</f>
        <v>0.08150218340615423</v>
      </c>
      <c r="P64" s="34">
        <f>(G64/100-O64)*100</f>
        <v>1.3497816593845773</v>
      </c>
      <c r="Q64" s="33">
        <f>(G64-(H64))/100</f>
        <v>0.0865</v>
      </c>
      <c r="R64" s="17">
        <f>F64*(1-(0)/100)*(((1+Q64)^(E64/12)-1)/((1+Q64)^(1/12)-1))*(1+Q64)^(1/12)</f>
        <v>864688.2421960982</v>
      </c>
      <c r="S64" s="33">
        <f>(1+RATE(E64,-F64,0,R64,1))^12-1</f>
        <v>0.08649999999999625</v>
      </c>
      <c r="T64" s="34">
        <f>(G64/100-S64)*100</f>
        <v>0.8500000000003755</v>
      </c>
      <c r="U64" s="33">
        <f>(G64-(I64))/100</f>
        <v>0.095</v>
      </c>
      <c r="V64" s="17">
        <f>F64*(1-(0)/100)*(((1+U64)^(E64/12)-1)/((1+U64)^(1/12)-1))*(1+U64)^(1/12)</f>
        <v>955393.5321329987</v>
      </c>
      <c r="W64" s="33">
        <f>(1+RATE(E64,-F64,0,V64,1))^12-1</f>
        <v>0.09499999999999909</v>
      </c>
      <c r="X64" s="34">
        <f>(G64/100-W64)*100</f>
        <v>9.159339953157541e-14</v>
      </c>
      <c r="Y64" s="33">
        <f>(G64-(J64))/100</f>
        <v>0.0915</v>
      </c>
      <c r="Z64" s="17">
        <f>F64*(1-(K64)/100)*(((1+Y64)^(E64/12)-1)/((1+Y64)^(1/12)-1))*(1+Y64)^(1/12)</f>
        <v>901022.0785801512</v>
      </c>
      <c r="AA64" s="33">
        <f>(1+RATE(E64,-F64,0,Z64,1))^12-1</f>
        <v>0.09001737157427092</v>
      </c>
      <c r="AB64" s="34">
        <f>(G64/100-AA64)*100</f>
        <v>0.498262842572908</v>
      </c>
      <c r="AC64" s="34">
        <f>T64+X64+AB64</f>
        <v>1.3482628425733751</v>
      </c>
      <c r="AD64" s="24">
        <f>IF(AC64=0,0,ROUND(T64*P64/AC64+1E-9,2))</f>
        <v>0.85</v>
      </c>
      <c r="AE64" s="24">
        <f>IF(AC64=0,0,ROUND(X64*P64/AC64+1E-9,2))</f>
        <v>0</v>
      </c>
      <c r="AF64" s="24">
        <f>IF(AC64=0,0,ROUND(AB64*P64/AC64+1E-9,2))</f>
        <v>0.5</v>
      </c>
      <c r="AG64" s="24">
        <v>0</v>
      </c>
      <c r="AH64" s="35">
        <f>ROUND(AD64+AE64+AF64+AG64+1E-9,2)</f>
        <v>1.35</v>
      </c>
    </row>
    <row r="65" spans="1:34" x14ac:dyDescent="0.25">
      <c r="A65" s="13" t="s">
        <v>101</v>
      </c>
      <c r="B65" s="23">
        <v>1</v>
      </c>
      <c r="C65" s="18">
        <f>IF(ROUND(D65/12,0)&gt;10,CHOOSE(B65,1,5,10,ROUND(D65/12,0)),CHOOSE(B65,1,3,5,ROUND(D65/12,0)))</f>
        <v>1</v>
      </c>
      <c r="D65" s="23">
        <v>240</v>
      </c>
      <c r="E65" s="18">
        <f>C65*12</f>
        <v>12</v>
      </c>
      <c r="F65" s="17">
        <f>INDEX('Fee Switch-Off'!$F$5:$F$30,MATCH($A65,'Fee Switch-Off'!$A$5:$A$30,0))</f>
        <v>2100</v>
      </c>
      <c r="G65" s="32">
        <v>9.95</v>
      </c>
      <c r="H65" s="24">
        <f>IF(ISNUMBER(SEARCH("TFI",INDEX('Fee Switch-Off'!$C$5:$C$30,MATCH($A65,'Fee Switch-Off'!$A$5:$A$30,0)))),Assumptions!$B$8,Assumptions!$B$7)</f>
        <v>0.7</v>
      </c>
      <c r="I65" s="16">
        <f>INDEX('Quote Summary'!$E$5:$E$30,MATCH($A65,'Quote Summary'!$A$5:$A$30,0))</f>
        <v>0</v>
      </c>
      <c r="J65" s="24">
        <f>Assumptions!$B$9</f>
        <v>0.35</v>
      </c>
      <c r="K65" s="16">
        <f>Assumptions!$B$10</f>
        <v>1.725</v>
      </c>
      <c r="L65" s="24">
        <f>Assumptions!$B$11</f>
        <v>0</v>
      </c>
      <c r="M65" s="33">
        <f>(G65-(H65+J65+I65+L65))/100</f>
        <v>0.089</v>
      </c>
      <c r="N65" s="17">
        <f>F65*(1-(K65)/100)*(((1+M65)^(E65/12)-1)/((1+M65)^(1/12)-1))*(1+M65)^(1/12)</f>
        <v>25943.644300692984</v>
      </c>
      <c r="O65" s="33">
        <f>(1+RATE(E65,-F65,0,N65,1))^12-1</f>
        <v>0.05492814626464271</v>
      </c>
      <c r="P65" s="34">
        <f>(G65/100-O65)*100</f>
        <v>4.4571853735357285</v>
      </c>
      <c r="Q65" s="33">
        <f>(G65-(H65))/100</f>
        <v>0.0925</v>
      </c>
      <c r="R65" s="17">
        <f>F65*(1-(0)/100)*(((1+Q65)^(E65/12)-1)/((1+Q65)^(1/12)-1))*(1+Q65)^(1/12)</f>
        <v>26445.56154682493</v>
      </c>
      <c r="S65" s="33">
        <f>(1+RATE(E65,-F65,0,R65,1))^12-1</f>
        <v>0.09250000000000314</v>
      </c>
      <c r="T65" s="34">
        <f>(G65/100-S65)*100</f>
        <v>0.6999999999996855</v>
      </c>
      <c r="U65" s="33">
        <f>(G65-(I65))/100</f>
        <v>0.09949999999999999</v>
      </c>
      <c r="V65" s="17">
        <f>F65*(1-(0)/100)*(((1+U65)^(E65/12)-1)/((1+U65)^(1/12)-1))*(1+U65)^(1/12)</f>
        <v>26538.495547550127</v>
      </c>
      <c r="W65" s="33">
        <f>(1+RATE(E65,-F65,0,V65,1))^12-1</f>
        <v>0.0994999999999977</v>
      </c>
      <c r="X65" s="34">
        <f>(G65/100-W65)*100</f>
        <v>2.2898349882893854e-13</v>
      </c>
      <c r="Y65" s="33">
        <f>(G65-(J65))/100</f>
        <v>0.09599999999999999</v>
      </c>
      <c r="Z65" s="17">
        <f>F65*(1-(K65)/100)*(((1+Y65)^(E65/12)-1)/((1+Y65)^(1/12)-1))*(1+Y65)^(1/12)</f>
        <v>26035.062939732958</v>
      </c>
      <c r="AA65" s="33">
        <f>(1+RATE(E65,-F65,0,Z65,1))^12-1</f>
        <v>0.06174186404405946</v>
      </c>
      <c r="AB65" s="34">
        <f>(G65/100-AA65)*100</f>
        <v>3.7758135955940535</v>
      </c>
      <c r="AC65" s="34">
        <f>T65+X65+AB65</f>
        <v>4.4758135955939675</v>
      </c>
      <c r="AD65" s="24">
        <f>IF(AC65=0,0,ROUND(T65*P65/AC65+1E-9,2))</f>
        <v>0.7</v>
      </c>
      <c r="AE65" s="24">
        <f>IF(AC65=0,0,ROUND(X65*P65/AC65+1E-9,2))</f>
        <v>0</v>
      </c>
      <c r="AF65" s="24">
        <f>IF(AC65=0,0,ROUND(AB65*P65/AC65+1E-9,2))</f>
        <v>3.76</v>
      </c>
      <c r="AG65" s="24">
        <v>0</v>
      </c>
      <c r="AH65" s="35">
        <f>ROUND(AD65+AE65+AF65+AG65+1E-9,2)</f>
        <v>4.46</v>
      </c>
    </row>
    <row r="66" spans="1:34" x14ac:dyDescent="0.25">
      <c r="A66" s="13" t="s">
        <v>101</v>
      </c>
      <c r="B66" s="23">
        <v>2</v>
      </c>
      <c r="C66" s="18">
        <f>IF(ROUND(D66/12,0)&gt;10,CHOOSE(B66,1,5,10,ROUND(D66/12,0)),CHOOSE(B66,1,3,5,ROUND(D66/12,0)))</f>
        <v>5</v>
      </c>
      <c r="D66" s="23">
        <v>240</v>
      </c>
      <c r="E66" s="18">
        <f>C66*12</f>
        <v>60</v>
      </c>
      <c r="F66" s="17">
        <f>INDEX('Fee Switch-Off'!$F$5:$F$30,MATCH($A66,'Fee Switch-Off'!$A$5:$A$30,0))</f>
        <v>2100</v>
      </c>
      <c r="G66" s="32">
        <v>9.95</v>
      </c>
      <c r="H66" s="24">
        <f>IF(ISNUMBER(SEARCH("TFI",INDEX('Fee Switch-Off'!$C$5:$C$30,MATCH($A66,'Fee Switch-Off'!$A$5:$A$30,0)))),Assumptions!$B$8,Assumptions!$B$7)</f>
        <v>0.7</v>
      </c>
      <c r="I66" s="16">
        <f>INDEX('Quote Summary'!$E$5:$E$30,MATCH($A66,'Quote Summary'!$A$5:$A$30,0))</f>
        <v>0</v>
      </c>
      <c r="J66" s="24">
        <f>Assumptions!$B$9</f>
        <v>0.35</v>
      </c>
      <c r="K66" s="16">
        <f>Assumptions!$B$10</f>
        <v>1.725</v>
      </c>
      <c r="L66" s="24">
        <f>Assumptions!$B$11</f>
        <v>0</v>
      </c>
      <c r="M66" s="33">
        <f>(G66-(H66+J66+I66+L66))/100</f>
        <v>0.089</v>
      </c>
      <c r="N66" s="17">
        <f>F66*(1-(K66)/100)*(((1+M66)^(E66/12)-1)/((1+M66)^(1/12)-1))*(1+M66)^(1/12)</f>
        <v>154956.13608341778</v>
      </c>
      <c r="O66" s="33">
        <f>(1+RATE(E66,-F66,0,N66,1))^12-1</f>
        <v>0.08203542435820355</v>
      </c>
      <c r="P66" s="34">
        <f>(G66/100-O66)*100</f>
        <v>1.7464575641796445</v>
      </c>
      <c r="Q66" s="33">
        <f>(G66-(H66))/100</f>
        <v>0.0925</v>
      </c>
      <c r="R66" s="17">
        <f>F66*(1-(0)/100)*(((1+Q66)^(E66/12)-1)/((1+Q66)^(1/12)-1))*(1+Q66)^(1/12)</f>
        <v>159059.2887004965</v>
      </c>
      <c r="S66" s="33">
        <f>(1+RATE(E66,-F66,0,R66,1))^12-1</f>
        <v>0.09250000000000314</v>
      </c>
      <c r="T66" s="34">
        <f>(G66/100-S66)*100</f>
        <v>0.6999999999996855</v>
      </c>
      <c r="U66" s="33">
        <f>(G66-(I66))/100</f>
        <v>0.09949999999999999</v>
      </c>
      <c r="V66" s="17">
        <f>F66*(1-(0)/100)*(((1+U66)^(E66/12)-1)/((1+U66)^(1/12)-1))*(1+U66)^(1/12)</f>
        <v>161858.9714082465</v>
      </c>
      <c r="W66" s="33">
        <f>(1+RATE(E66,-F66,0,V66,1))^12-1</f>
        <v>0.0994999999999977</v>
      </c>
      <c r="X66" s="34">
        <f>(G66/100-W66)*100</f>
        <v>2.2898349882893854e-13</v>
      </c>
      <c r="Y66" s="33">
        <f>(G66-(J66))/100</f>
        <v>0.09599999999999999</v>
      </c>
      <c r="Z66" s="17">
        <f>F66*(1-(K66)/100)*(((1+Y66)^(E66/12)-1)/((1+Y66)^(1/12)-1))*(1+Y66)^(1/12)</f>
        <v>157685.74858767402</v>
      </c>
      <c r="AA66" s="33">
        <f>(1+RATE(E66,-F66,0,Z66,1))^12-1</f>
        <v>0.08902464278351485</v>
      </c>
      <c r="AB66" s="34">
        <f>(G66/100-AA66)*100</f>
        <v>1.047535721648514</v>
      </c>
      <c r="AC66" s="34">
        <f>T66+X66+AB66</f>
        <v>1.7475357216484284</v>
      </c>
      <c r="AD66" s="24">
        <f>IF(AC66=0,0,ROUND(T66*P66/AC66+1E-9,2))</f>
        <v>0.7</v>
      </c>
      <c r="AE66" s="24">
        <f>IF(AC66=0,0,ROUND(X66*P66/AC66+1E-9,2))</f>
        <v>0</v>
      </c>
      <c r="AF66" s="24">
        <f>IF(AC66=0,0,ROUND(AB66*P66/AC66+1E-9,2))</f>
        <v>1.05</v>
      </c>
      <c r="AG66" s="24">
        <v>0</v>
      </c>
      <c r="AH66" s="35">
        <f>ROUND(AD66+AE66+AF66+AG66+1E-9,2)</f>
        <v>1.75</v>
      </c>
    </row>
    <row r="67" spans="1:34" x14ac:dyDescent="0.25">
      <c r="A67" s="13" t="s">
        <v>101</v>
      </c>
      <c r="B67" s="23">
        <v>3</v>
      </c>
      <c r="C67" s="18">
        <f>IF(ROUND(D67/12,0)&gt;10,CHOOSE(B67,1,5,10,ROUND(D67/12,0)),CHOOSE(B67,1,3,5,ROUND(D67/12,0)))</f>
        <v>10</v>
      </c>
      <c r="D67" s="23">
        <v>240</v>
      </c>
      <c r="E67" s="18">
        <f>C67*12</f>
        <v>120</v>
      </c>
      <c r="F67" s="17">
        <f>INDEX('Fee Switch-Off'!$F$5:$F$30,MATCH($A67,'Fee Switch-Off'!$A$5:$A$30,0))</f>
        <v>2100</v>
      </c>
      <c r="G67" s="32">
        <v>9.95</v>
      </c>
      <c r="H67" s="24">
        <f>IF(ISNUMBER(SEARCH("TFI",INDEX('Fee Switch-Off'!$C$5:$C$30,MATCH($A67,'Fee Switch-Off'!$A$5:$A$30,0)))),Assumptions!$B$8,Assumptions!$B$7)</f>
        <v>0.7</v>
      </c>
      <c r="I67" s="16">
        <f>INDEX('Quote Summary'!$E$5:$E$30,MATCH($A67,'Quote Summary'!$A$5:$A$30,0))</f>
        <v>0</v>
      </c>
      <c r="J67" s="24">
        <f>Assumptions!$B$9</f>
        <v>0.35</v>
      </c>
      <c r="K67" s="16">
        <f>Assumptions!$B$10</f>
        <v>1.725</v>
      </c>
      <c r="L67" s="24">
        <f>Assumptions!$B$11</f>
        <v>0</v>
      </c>
      <c r="M67" s="33">
        <f>(G67-(H67+J67+I67+L67))/100</f>
        <v>0.089</v>
      </c>
      <c r="N67" s="17">
        <f>F67*(1-(K67)/100)*(((1+M67)^(E67/12)-1)/((1+M67)^(1/12)-1))*(1+M67)^(1/12)</f>
        <v>392283.6977465591</v>
      </c>
      <c r="O67" s="33">
        <f>(1+RATE(E67,-F67,0,N67,1))^12-1</f>
        <v>0.0856988368592615</v>
      </c>
      <c r="P67" s="34">
        <f>(G67/100-O67)*100</f>
        <v>1.3801163140738495</v>
      </c>
      <c r="Q67" s="33">
        <f>(G67-(H67))/100</f>
        <v>0.0925</v>
      </c>
      <c r="R67" s="17">
        <f>F67*(1-(0)/100)*(((1+Q67)^(E67/12)-1)/((1+Q67)^(1/12)-1))*(1+Q67)^(1/12)</f>
        <v>406611.18884101976</v>
      </c>
      <c r="S67" s="33">
        <f>(1+RATE(E67,-F67,0,R67,1))^12-1</f>
        <v>0.09250000000000314</v>
      </c>
      <c r="T67" s="34">
        <f>(G67/100-S67)*100</f>
        <v>0.6999999999996855</v>
      </c>
      <c r="U67" s="33">
        <f>(G67-(I67))/100</f>
        <v>0.09949999999999999</v>
      </c>
      <c r="V67" s="17">
        <f>F67*(1-(0)/100)*(((1+U67)^(E67/12)-1)/((1+U67)^(1/12)-1))*(1+U67)^(1/12)</f>
        <v>421942.5574918167</v>
      </c>
      <c r="W67" s="33">
        <f>(1+RATE(E67,-F67,0,V67,1))^12-1</f>
        <v>0.0994999999999977</v>
      </c>
      <c r="X67" s="34">
        <f>(G67/100-W67)*100</f>
        <v>2.2898349882893854e-13</v>
      </c>
      <c r="Y67" s="33">
        <f>(G67-(J67))/100</f>
        <v>0.09599999999999999</v>
      </c>
      <c r="Z67" s="17">
        <f>F67*(1-(K67)/100)*(((1+Y67)^(E67/12)-1)/((1+Y67)^(1/12)-1))*(1+Y67)^(1/12)</f>
        <v>407056.3283224995</v>
      </c>
      <c r="AA67" s="33">
        <f>(1+RATE(E67,-F67,0,Z67,1))^12-1</f>
        <v>0.09270718244705045</v>
      </c>
      <c r="AB67" s="34">
        <f>(G67/100-AA67)*100</f>
        <v>0.6792817552949539</v>
      </c>
      <c r="AC67" s="34">
        <f>T67+X67+AB67</f>
        <v>1.3792817552948684</v>
      </c>
      <c r="AD67" s="24">
        <f>IF(AC67=0,0,ROUND(T67*P67/AC67+1E-9,2))</f>
        <v>0.7</v>
      </c>
      <c r="AE67" s="24">
        <f>IF(AC67=0,0,ROUND(X67*P67/AC67+1E-9,2))</f>
        <v>0</v>
      </c>
      <c r="AF67" s="24">
        <f>IF(AC67=0,0,ROUND(AB67*P67/AC67+1E-9,2))</f>
        <v>0.68</v>
      </c>
      <c r="AG67" s="24">
        <v>0</v>
      </c>
      <c r="AH67" s="35">
        <f>ROUND(AD67+AE67+AF67+AG67+1E-9,2)</f>
        <v>1.38</v>
      </c>
    </row>
    <row r="68" spans="1:34" x14ac:dyDescent="0.25">
      <c r="A68" s="13" t="s">
        <v>101</v>
      </c>
      <c r="B68" s="23">
        <v>4</v>
      </c>
      <c r="C68" s="18">
        <f>IF(ROUND(D68/12,0)&gt;10,CHOOSE(B68,1,5,10,ROUND(D68/12,0)),CHOOSE(B68,1,3,5,ROUND(D68/12,0)))</f>
        <v>20</v>
      </c>
      <c r="D68" s="23">
        <v>240</v>
      </c>
      <c r="E68" s="18">
        <f>C68*12</f>
        <v>240</v>
      </c>
      <c r="F68" s="17">
        <f>INDEX('Fee Switch-Off'!$F$5:$F$30,MATCH($A68,'Fee Switch-Off'!$A$5:$A$30,0))</f>
        <v>2100</v>
      </c>
      <c r="G68" s="32">
        <v>9.95</v>
      </c>
      <c r="H68" s="24">
        <f>IF(ISNUMBER(SEARCH("TFI",INDEX('Fee Switch-Off'!$C$5:$C$30,MATCH($A68,'Fee Switch-Off'!$A$5:$A$30,0)))),Assumptions!$B$8,Assumptions!$B$7)</f>
        <v>0.7</v>
      </c>
      <c r="I68" s="16">
        <f>INDEX('Quote Summary'!$E$5:$E$30,MATCH($A68,'Quote Summary'!$A$5:$A$30,0))</f>
        <v>0</v>
      </c>
      <c r="J68" s="24">
        <f>Assumptions!$B$9</f>
        <v>0.35</v>
      </c>
      <c r="K68" s="16">
        <f>Assumptions!$B$10</f>
        <v>1.725</v>
      </c>
      <c r="L68" s="24">
        <f>Assumptions!$B$11</f>
        <v>0</v>
      </c>
      <c r="M68" s="33">
        <f>(G68-(H68+J68+I68+L68))/100</f>
        <v>0.089</v>
      </c>
      <c r="N68" s="17">
        <f>F68*(1-(K68)/100)*(((1+M68)^(E68/12)-1)/((1+M68)^(1/12)-1))*(1+M68)^(1/12)</f>
        <v>1312476.978986396</v>
      </c>
      <c r="O68" s="33">
        <f>(1+RATE(E68,-F68,0,N68,1))^12-1</f>
        <v>0.08751304958329231</v>
      </c>
      <c r="P68" s="34">
        <f>(G68/100-O68)*100</f>
        <v>1.1986950416707678</v>
      </c>
      <c r="Q68" s="33">
        <f>(G68-(H68))/100</f>
        <v>0.0925</v>
      </c>
      <c r="R68" s="17">
        <f>F68*(1-(0)/100)*(((1+Q68)^(E68/12)-1)/((1+Q68)^(1/12)-1))*(1+Q68)^(1/12)</f>
        <v>1391514.9172566659</v>
      </c>
      <c r="S68" s="33">
        <f>(1+RATE(E68,-F68,0,R68,1))^12-1</f>
        <v>0.09250000000000314</v>
      </c>
      <c r="T68" s="34">
        <f>(G68/100-S68)*100</f>
        <v>0.6999999999996855</v>
      </c>
      <c r="U68" s="33">
        <f>(G68-(I68))/100</f>
        <v>0.09949999999999999</v>
      </c>
      <c r="V68" s="17">
        <f>F68*(1-(0)/100)*(((1+U68)^(E68/12)-1)/((1+U68)^(1/12)-1))*(1+U68)^(1/12)</f>
        <v>1511388.4551644046</v>
      </c>
      <c r="W68" s="33">
        <f>(1+RATE(E68,-F68,0,V68,1))^12-1</f>
        <v>0.0994999999999977</v>
      </c>
      <c r="X68" s="34">
        <f>(G68/100-W68)*100</f>
        <v>2.2898349882893854e-13</v>
      </c>
      <c r="Y68" s="33">
        <f>(G68-(J68))/100</f>
        <v>0.09599999999999999</v>
      </c>
      <c r="Z68" s="17">
        <f>F68*(1-(K68)/100)*(((1+Y68)^(E68/12)-1)/((1+Y68)^(1/12)-1))*(1+Y68)^(1/12)</f>
        <v>1425085.1003011286</v>
      </c>
      <c r="AA68" s="33">
        <f>(1+RATE(E68,-F68,0,Z68,1))^12-1</f>
        <v>0.09452485572026914</v>
      </c>
      <c r="AB68" s="34">
        <f>(G68/100-AA68)*100</f>
        <v>0.49751442797308504</v>
      </c>
      <c r="AC68" s="34">
        <f>T68+X68+AB68</f>
        <v>1.1975144279729995</v>
      </c>
      <c r="AD68" s="24">
        <f>IF(AC68=0,0,ROUND(T68*P68/AC68+1E-9,2))</f>
        <v>0.7</v>
      </c>
      <c r="AE68" s="24">
        <f>IF(AC68=0,0,ROUND(X68*P68/AC68+1E-9,2))</f>
        <v>0</v>
      </c>
      <c r="AF68" s="24">
        <f>IF(AC68=0,0,ROUND(AB68*P68/AC68+1E-9,2))</f>
        <v>0.5</v>
      </c>
      <c r="AG68" s="24">
        <v>0</v>
      </c>
      <c r="AH68" s="35">
        <f>ROUND(AD68+AE68+AF68+AG68+1E-9,2)</f>
        <v>1.2</v>
      </c>
    </row>
    <row r="69" spans="1:34" x14ac:dyDescent="0.25">
      <c r="A69" s="13" t="s">
        <v>103</v>
      </c>
      <c r="B69" s="23">
        <v>1</v>
      </c>
      <c r="C69" s="18">
        <f>IF(ROUND(D69/12,0)&gt;10,CHOOSE(B69,1,5,10,ROUND(D69/12,0)),CHOOSE(B69,1,3,5,ROUND(D69/12,0)))</f>
        <v>1</v>
      </c>
      <c r="D69" s="23">
        <v>300</v>
      </c>
      <c r="E69" s="18">
        <f>C69*12</f>
        <v>12</v>
      </c>
      <c r="F69" s="17">
        <f>INDEX('Fee Switch-Off'!$F$5:$F$30,MATCH($A69,'Fee Switch-Off'!$A$5:$A$30,0))</f>
        <v>3200</v>
      </c>
      <c r="G69" s="32">
        <v>10.4</v>
      </c>
      <c r="H69" s="24">
        <f>IF(ISNUMBER(SEARCH("TFI",INDEX('Fee Switch-Off'!$C$5:$C$30,MATCH($A69,'Fee Switch-Off'!$A$5:$A$30,0)))),Assumptions!$B$8,Assumptions!$B$7)</f>
        <v>0.85</v>
      </c>
      <c r="I69" s="16">
        <f>INDEX('Quote Summary'!$E$5:$E$30,MATCH($A69,'Quote Summary'!$A$5:$A$30,0))</f>
        <v>0</v>
      </c>
      <c r="J69" s="24">
        <f>Assumptions!$B$9</f>
        <v>0.35</v>
      </c>
      <c r="K69" s="16">
        <f>Assumptions!$B$10</f>
        <v>1.725</v>
      </c>
      <c r="L69" s="24">
        <f>Assumptions!$B$11</f>
        <v>0</v>
      </c>
      <c r="M69" s="33">
        <f>(G69-(H69+J69+I69+L69))/100</f>
        <v>0.09200000000000001</v>
      </c>
      <c r="N69" s="17">
        <f>F69*(1-(K69)/100)*(((1+M69)^(E69/12)-1)/((1+M69)^(1/12)-1))*(1+M69)^(1/12)</f>
        <v>39592.90706818468</v>
      </c>
      <c r="O69" s="33">
        <f>(1+RATE(E69,-F69,0,N69,1))^12-1</f>
        <v>0.0578482932626494</v>
      </c>
      <c r="P69" s="34">
        <f>(G69/100-O69)*100</f>
        <v>4.6151706737350615</v>
      </c>
      <c r="Q69" s="33">
        <f>(G69-(H69))/100</f>
        <v>0.0955</v>
      </c>
      <c r="R69" s="17">
        <f>F69*(1-(0)/100)*(((1+Q69)^(E69/12)-1)/((1+Q69)^(1/12)-1))*(1+Q69)^(1/12)</f>
        <v>40358.723388794046</v>
      </c>
      <c r="S69" s="33">
        <f>(1+RATE(E69,-F69,0,R69,1))^12-1</f>
        <v>0.0955000000000068</v>
      </c>
      <c r="T69" s="34">
        <f>(G69/100-S69)*100</f>
        <v>0.8499999999993207</v>
      </c>
      <c r="U69" s="33">
        <f>(G69-(I69))/100</f>
        <v>0.10400000000000001</v>
      </c>
      <c r="V69" s="17">
        <f>F69*(1-(0)/100)*(((1+U69)^(E69/12)-1)/((1+U69)^(1/12)-1))*(1+U69)^(1/12)</f>
        <v>40530.506817193105</v>
      </c>
      <c r="W69" s="33">
        <f>(1+RATE(E69,-F69,0,V69,1))^12-1</f>
        <v>0.10400000000000098</v>
      </c>
      <c r="X69" s="34">
        <f>(G69/100-W69)*100</f>
        <v>-9.71445146547012e-14</v>
      </c>
      <c r="Y69" s="33">
        <f>(G69-(J69))/100</f>
        <v>0.1005</v>
      </c>
      <c r="Z69" s="17">
        <f>F69*(1-(K69)/100)*(((1+Y69)^(E69/12)-1)/((1+Y69)^(1/12)-1))*(1+Y69)^(1/12)</f>
        <v>39761.888771330545</v>
      </c>
      <c r="AA69" s="33">
        <f>(1+RATE(E69,-F69,0,Z69,1))^12-1</f>
        <v>0.06612218752391552</v>
      </c>
      <c r="AB69" s="34">
        <f>(G69/100-AA69)*100</f>
        <v>3.7877812476084487</v>
      </c>
      <c r="AC69" s="34">
        <f>T69+X69+AB69</f>
        <v>4.6377812476076725</v>
      </c>
      <c r="AD69" s="24">
        <f>IF(AC69=0,0,ROUND(T69*P69/AC69+1E-9,2))</f>
        <v>0.85</v>
      </c>
      <c r="AE69" s="24">
        <f>IF(AC69=0,0,ROUND(X69*P69/AC69+1E-9,2))</f>
        <v>0</v>
      </c>
      <c r="AF69" s="24">
        <f>IF(AC69=0,0,ROUND(AB69*P69/AC69+1E-9,2))</f>
        <v>3.77</v>
      </c>
      <c r="AG69" s="24">
        <v>0</v>
      </c>
      <c r="AH69" s="35">
        <f>ROUND(AD69+AE69+AF69+AG69+1E-9,2)</f>
        <v>4.62</v>
      </c>
    </row>
    <row r="70" spans="1:34" x14ac:dyDescent="0.25">
      <c r="A70" s="13" t="s">
        <v>103</v>
      </c>
      <c r="B70" s="23">
        <v>2</v>
      </c>
      <c r="C70" s="18">
        <f>IF(ROUND(D70/12,0)&gt;10,CHOOSE(B70,1,5,10,ROUND(D70/12,0)),CHOOSE(B70,1,3,5,ROUND(D70/12,0)))</f>
        <v>5</v>
      </c>
      <c r="D70" s="23">
        <v>300</v>
      </c>
      <c r="E70" s="18">
        <f>C70*12</f>
        <v>60</v>
      </c>
      <c r="F70" s="17">
        <f>INDEX('Fee Switch-Off'!$F$5:$F$30,MATCH($A70,'Fee Switch-Off'!$A$5:$A$30,0))</f>
        <v>3200</v>
      </c>
      <c r="G70" s="32">
        <v>10.4</v>
      </c>
      <c r="H70" s="24">
        <f>IF(ISNUMBER(SEARCH("TFI",INDEX('Fee Switch-Off'!$C$5:$C$30,MATCH($A70,'Fee Switch-Off'!$A$5:$A$30,0)))),Assumptions!$B$8,Assumptions!$B$7)</f>
        <v>0.85</v>
      </c>
      <c r="I70" s="16">
        <f>INDEX('Quote Summary'!$E$5:$E$30,MATCH($A70,'Quote Summary'!$A$5:$A$30,0))</f>
        <v>0</v>
      </c>
      <c r="J70" s="24">
        <f>Assumptions!$B$9</f>
        <v>0.35</v>
      </c>
      <c r="K70" s="16">
        <f>Assumptions!$B$10</f>
        <v>1.725</v>
      </c>
      <c r="L70" s="24">
        <f>Assumptions!$B$11</f>
        <v>0</v>
      </c>
      <c r="M70" s="33">
        <f>(G70-(H70+J70+I70+L70))/100</f>
        <v>0.09200000000000001</v>
      </c>
      <c r="N70" s="17">
        <f>F70*(1-(K70)/100)*(((1+M70)^(E70/12)-1)/((1+M70)^(1/12)-1))*(1+M70)^(1/12)</f>
        <v>237898.1425139887</v>
      </c>
      <c r="O70" s="33">
        <f>(1+RATE(E70,-F70,0,N70,1))^12-1</f>
        <v>0.08503082319564537</v>
      </c>
      <c r="P70" s="34">
        <f>(G70/100-O70)*100</f>
        <v>1.8969176804354642</v>
      </c>
      <c r="Q70" s="33">
        <f>(G70-(H70))/100</f>
        <v>0.0955</v>
      </c>
      <c r="R70" s="17">
        <f>F70*(1-(0)/100)*(((1+Q70)^(E70/12)-1)/((1+Q70)^(1/12)-1))*(1+Q70)^(1/12)</f>
        <v>244196.1302332128</v>
      </c>
      <c r="S70" s="33">
        <f>(1+RATE(E70,-F70,0,R70,1))^12-1</f>
        <v>0.0955000000000068</v>
      </c>
      <c r="T70" s="34">
        <f>(G70/100-S70)*100</f>
        <v>0.8499999999993207</v>
      </c>
      <c r="U70" s="33">
        <f>(G70-(I70))/100</f>
        <v>0.10400000000000001</v>
      </c>
      <c r="V70" s="17">
        <f>F70*(1-(0)/100)*(((1+U70)^(E70/12)-1)/((1+U70)^(1/12)-1))*(1+U70)^(1/12)</f>
        <v>249420.73882933054</v>
      </c>
      <c r="W70" s="33">
        <f>(1+RATE(E70,-F70,0,V70,1))^12-1</f>
        <v>0.10400000000000098</v>
      </c>
      <c r="X70" s="34">
        <f>(G70/100-W70)*100</f>
        <v>-9.71445146547012e-14</v>
      </c>
      <c r="Y70" s="33">
        <f>(G70-(J70))/100</f>
        <v>0.1005</v>
      </c>
      <c r="Z70" s="17">
        <f>F70*(1-(K70)/100)*(((1+Y70)^(E70/12)-1)/((1+Y70)^(1/12)-1))*(1+Y70)^(1/12)</f>
        <v>242992.05507461372</v>
      </c>
      <c r="AA70" s="33">
        <f>(1+RATE(E70,-F70,0,Z70,1))^12-1</f>
        <v>0.09351762792825768</v>
      </c>
      <c r="AB70" s="34">
        <f>(G70/100-AA70)*100</f>
        <v>1.0482372071742323</v>
      </c>
      <c r="AC70" s="34">
        <f>T70+X70+AB70</f>
        <v>1.898237207173456</v>
      </c>
      <c r="AD70" s="24">
        <f>IF(AC70=0,0,ROUND(T70*P70/AC70+1E-9,2))</f>
        <v>0.85</v>
      </c>
      <c r="AE70" s="24">
        <f>IF(AC70=0,0,ROUND(X70*P70/AC70+1E-9,2))</f>
        <v>0</v>
      </c>
      <c r="AF70" s="24">
        <f>IF(AC70=0,0,ROUND(AB70*P70/AC70+1E-9,2))</f>
        <v>1.05</v>
      </c>
      <c r="AG70" s="24">
        <v>0</v>
      </c>
      <c r="AH70" s="35">
        <f>ROUND(AD70+AE70+AF70+AG70+1E-9,2)</f>
        <v>1.9</v>
      </c>
    </row>
    <row r="71" spans="1:34" x14ac:dyDescent="0.25">
      <c r="A71" s="13" t="s">
        <v>103</v>
      </c>
      <c r="B71" s="23">
        <v>3</v>
      </c>
      <c r="C71" s="18">
        <f>IF(ROUND(D71/12,0)&gt;10,CHOOSE(B71,1,5,10,ROUND(D71/12,0)),CHOOSE(B71,1,3,5,ROUND(D71/12,0)))</f>
        <v>10</v>
      </c>
      <c r="D71" s="23">
        <v>300</v>
      </c>
      <c r="E71" s="18">
        <f>C71*12</f>
        <v>120</v>
      </c>
      <c r="F71" s="17">
        <f>INDEX('Fee Switch-Off'!$F$5:$F$30,MATCH($A71,'Fee Switch-Off'!$A$5:$A$30,0))</f>
        <v>3200</v>
      </c>
      <c r="G71" s="32">
        <v>10.4</v>
      </c>
      <c r="H71" s="24">
        <f>IF(ISNUMBER(SEARCH("TFI",INDEX('Fee Switch-Off'!$C$5:$C$30,MATCH($A71,'Fee Switch-Off'!$A$5:$A$30,0)))),Assumptions!$B$8,Assumptions!$B$7)</f>
        <v>0.85</v>
      </c>
      <c r="I71" s="16">
        <f>INDEX('Quote Summary'!$E$5:$E$30,MATCH($A71,'Quote Summary'!$A$5:$A$30,0))</f>
        <v>0</v>
      </c>
      <c r="J71" s="24">
        <f>Assumptions!$B$9</f>
        <v>0.35</v>
      </c>
      <c r="K71" s="16">
        <f>Assumptions!$B$10</f>
        <v>1.725</v>
      </c>
      <c r="L71" s="24">
        <f>Assumptions!$B$11</f>
        <v>0</v>
      </c>
      <c r="M71" s="33">
        <f>(G71-(H71+J71+I71+L71))/100</f>
        <v>0.09200000000000001</v>
      </c>
      <c r="N71" s="17">
        <f>F71*(1-(K71)/100)*(((1+M71)^(E71/12)-1)/((1+M71)^(1/12)-1))*(1+M71)^(1/12)</f>
        <v>607304.3958747232</v>
      </c>
      <c r="O71" s="33">
        <f>(1+RATE(E71,-F71,0,N71,1))^12-1</f>
        <v>0.08870247484858296</v>
      </c>
      <c r="P71" s="34">
        <f>(G71/100-O71)*100</f>
        <v>1.529752515141705</v>
      </c>
      <c r="Q71" s="33">
        <f>(G71-(H71))/100</f>
        <v>0.0955</v>
      </c>
      <c r="R71" s="17">
        <f>F71*(1-(0)/100)*(((1+Q71)^(E71/12)-1)/((1+Q71)^(1/12)-1))*(1+Q71)^(1/12)</f>
        <v>629497.6188330126</v>
      </c>
      <c r="S71" s="33">
        <f>(1+RATE(E71,-F71,0,R71,1))^12-1</f>
        <v>0.09550000000000103</v>
      </c>
      <c r="T71" s="34">
        <f>(G71/100-S71)*100</f>
        <v>0.8499999999998981</v>
      </c>
      <c r="U71" s="33">
        <f>(G71-(I71))/100</f>
        <v>0.10400000000000001</v>
      </c>
      <c r="V71" s="17">
        <f>F71*(1-(0)/100)*(((1+U71)^(E71/12)-1)/((1+U71)^(1/12)-1))*(1+U71)^(1/12)</f>
        <v>658472.181139159</v>
      </c>
      <c r="W71" s="33">
        <f>(1+RATE(E71,-F71,0,V71,1))^12-1</f>
        <v>0.10400000000000098</v>
      </c>
      <c r="X71" s="34">
        <f>(G71/100-W71)*100</f>
        <v>-9.71445146547012e-14</v>
      </c>
      <c r="Y71" s="33">
        <f>(G71-(J71))/100</f>
        <v>0.1005</v>
      </c>
      <c r="Z71" s="17">
        <f>F71*(1-(K71)/100)*(((1+Y71)^(E71/12)-1)/((1+Y71)^(1/12)-1))*(1+Y71)^(1/12)</f>
        <v>635223.4102860872</v>
      </c>
      <c r="AA71" s="33">
        <f>(1+RATE(E71,-F71,0,Z71,1))^12-1</f>
        <v>0.09721228545993998</v>
      </c>
      <c r="AB71" s="34">
        <f>(G71/100-AA71)*100</f>
        <v>0.6787714540060025</v>
      </c>
      <c r="AC71" s="34">
        <f>T71+X71+AB71</f>
        <v>1.5287714540058035</v>
      </c>
      <c r="AD71" s="24">
        <f>IF(AC71=0,0,ROUND(T71*P71/AC71+1E-9,2))</f>
        <v>0.85</v>
      </c>
      <c r="AE71" s="24">
        <f>IF(AC71=0,0,ROUND(X71*P71/AC71+1E-9,2))</f>
        <v>0</v>
      </c>
      <c r="AF71" s="24">
        <f>IF(AC71=0,0,ROUND(AB71*P71/AC71+1E-9,2))</f>
        <v>0.68</v>
      </c>
      <c r="AG71" s="24">
        <v>0</v>
      </c>
      <c r="AH71" s="35">
        <f>ROUND(AD71+AE71+AF71+AG71+1E-9,2)</f>
        <v>1.53</v>
      </c>
    </row>
    <row r="72" spans="1:34" x14ac:dyDescent="0.25">
      <c r="A72" s="13" t="s">
        <v>103</v>
      </c>
      <c r="B72" s="23">
        <v>4</v>
      </c>
      <c r="C72" s="18">
        <f>IF(ROUND(D72/12,0)&gt;10,CHOOSE(B72,1,5,10,ROUND(D72/12,0)),CHOOSE(B72,1,3,5,ROUND(D72/12,0)))</f>
        <v>25</v>
      </c>
      <c r="D72" s="23">
        <v>300</v>
      </c>
      <c r="E72" s="18">
        <f>C72*12</f>
        <v>300</v>
      </c>
      <c r="F72" s="17">
        <f>INDEX('Fee Switch-Off'!$F$5:$F$30,MATCH($A72,'Fee Switch-Off'!$A$5:$A$30,0))</f>
        <v>3200</v>
      </c>
      <c r="G72" s="32">
        <v>10.4</v>
      </c>
      <c r="H72" s="24">
        <f>IF(ISNUMBER(SEARCH("TFI",INDEX('Fee Switch-Off'!$C$5:$C$30,MATCH($A72,'Fee Switch-Off'!$A$5:$A$30,0)))),Assumptions!$B$8,Assumptions!$B$7)</f>
        <v>0.85</v>
      </c>
      <c r="I72" s="16">
        <f>INDEX('Quote Summary'!$E$5:$E$30,MATCH($A72,'Quote Summary'!$A$5:$A$30,0))</f>
        <v>0</v>
      </c>
      <c r="J72" s="24">
        <f>Assumptions!$B$9</f>
        <v>0.35</v>
      </c>
      <c r="K72" s="16">
        <f>Assumptions!$B$10</f>
        <v>1.725</v>
      </c>
      <c r="L72" s="24">
        <f>Assumptions!$B$11</f>
        <v>0</v>
      </c>
      <c r="M72" s="33">
        <f>(G72-(H72+J72+I72+L72))/100</f>
        <v>0.09200000000000001</v>
      </c>
      <c r="N72" s="17">
        <f>F72*(1-(K72)/100)*(((1+M72)^(E72/12)-1)/((1+M72)^(1/12)-1))*(1+M72)^(1/12)</f>
        <v>3454682.563195087</v>
      </c>
      <c r="O72" s="33">
        <f>(1+RATE(E72,-F72,0,N72,1))^12-1</f>
        <v>0.09086767292965647</v>
      </c>
      <c r="P72" s="34">
        <f>(G72/100-O72)*100</f>
        <v>1.3132327070343535</v>
      </c>
      <c r="Q72" s="33">
        <f>(G72-(H72))/100</f>
        <v>0.0955</v>
      </c>
      <c r="R72" s="17">
        <f>F72*(1-(0)/100)*(((1+Q72)^(E72/12)-1)/((1+Q72)^(1/12)-1))*(1+Q72)^(1/12)</f>
        <v>3710188.023714721</v>
      </c>
      <c r="S72" s="33">
        <f>(1+RATE(E72,-F72,0,R72,1))^12-1</f>
        <v>0.09550000000000103</v>
      </c>
      <c r="T72" s="34">
        <f>(G72/100-S72)*100</f>
        <v>0.8499999999998981</v>
      </c>
      <c r="U72" s="33">
        <f>(G72-(I72))/100</f>
        <v>0.10400000000000001</v>
      </c>
      <c r="V72" s="17">
        <f>F72*(1-(0)/100)*(((1+U72)^(E72/12)-1)/((1+U72)^(1/12)-1))*(1+U72)^(1/12)</f>
        <v>4233833.284251673</v>
      </c>
      <c r="W72" s="33">
        <f>(1+RATE(E72,-F72,0,V72,1))^12-1</f>
        <v>0.10400000000000098</v>
      </c>
      <c r="X72" s="34">
        <f>(G72/100-W72)*100</f>
        <v>-9.71445146547012e-14</v>
      </c>
      <c r="Y72" s="33">
        <f>(G72-(J72))/100</f>
        <v>0.1005</v>
      </c>
      <c r="Z72" s="17">
        <f>F72*(1-(K72)/100)*(((1+Y72)^(E72/12)-1)/((1+Y72)^(1/12)-1))*(1+Y72)^(1/12)</f>
        <v>3939988.3561748327</v>
      </c>
      <c r="AA72" s="33">
        <f>(1+RATE(E72,-F72,0,Z72,1))^12-1</f>
        <v>0.09938003366346093</v>
      </c>
      <c r="AB72" s="34">
        <f>(G72/100-AA72)*100</f>
        <v>0.46199663365390775</v>
      </c>
      <c r="AC72" s="34">
        <f>T72+X72+AB72</f>
        <v>1.3119966336537088</v>
      </c>
      <c r="AD72" s="24">
        <f>IF(AC72=0,0,ROUND(T72*P72/AC72+1E-9,2))</f>
        <v>0.85</v>
      </c>
      <c r="AE72" s="24">
        <f>IF(AC72=0,0,ROUND(X72*P72/AC72+1E-9,2))</f>
        <v>0</v>
      </c>
      <c r="AF72" s="24">
        <f>IF(AC72=0,0,ROUND(AB72*P72/AC72+1E-9,2))</f>
        <v>0.46</v>
      </c>
      <c r="AG72" s="24">
        <v>0</v>
      </c>
      <c r="AH72" s="35">
        <f>ROUND(AD72+AE72+AF72+AG72+1E-9,2)</f>
        <v>1.31</v>
      </c>
    </row>
    <row r="73" spans="1:34" x14ac:dyDescent="0.25">
      <c r="A73" s="13" t="s">
        <v>105</v>
      </c>
      <c r="B73" s="23">
        <v>1</v>
      </c>
      <c r="C73" s="18">
        <f>IF(ROUND(D73/12,0)&gt;10,CHOOSE(B73,1,5,10,ROUND(D73/12,0)),CHOOSE(B73,1,3,5,ROUND(D73/12,0)))</f>
        <v>1</v>
      </c>
      <c r="D73" s="23">
        <v>240</v>
      </c>
      <c r="E73" s="18">
        <f>C73*12</f>
        <v>12</v>
      </c>
      <c r="F73" s="17">
        <f>INDEX('Fee Switch-Off'!$F$5:$F$30,MATCH($A73,'Fee Switch-Off'!$A$5:$A$30,0))</f>
        <v>1700</v>
      </c>
      <c r="G73" s="32">
        <v>10.85</v>
      </c>
      <c r="H73" s="24">
        <f>IF(ISNUMBER(SEARCH("TFI",INDEX('Fee Switch-Off'!$C$5:$C$30,MATCH($A73,'Fee Switch-Off'!$A$5:$A$30,0)))),Assumptions!$B$8,Assumptions!$B$7)</f>
        <v>0.85</v>
      </c>
      <c r="I73" s="16">
        <f>INDEX('Quote Summary'!$E$5:$E$30,MATCH($A73,'Quote Summary'!$A$5:$A$30,0))</f>
        <v>0</v>
      </c>
      <c r="J73" s="24">
        <f>Assumptions!$B$9</f>
        <v>0.35</v>
      </c>
      <c r="K73" s="16">
        <f>Assumptions!$B$10</f>
        <v>1.725</v>
      </c>
      <c r="L73" s="24">
        <f>Assumptions!$B$11</f>
        <v>0</v>
      </c>
      <c r="M73" s="33">
        <f>(G73-(H73+J73+I73+L73))/100</f>
        <v>0.0965</v>
      </c>
      <c r="N73" s="17">
        <f>F73*(1-(K73)/100)*(((1+M73)^(E73/12)-1)/((1+M73)^(1/12)-1))*(1+M73)^(1/12)</f>
        <v>21081.284004471105</v>
      </c>
      <c r="O73" s="33">
        <f>(1+RATE(E73,-F73,0,N73,1))^12-1</f>
        <v>0.062228563712069196</v>
      </c>
      <c r="P73" s="34">
        <f>(G73/100-O73)*100</f>
        <v>4.62714362879308</v>
      </c>
      <c r="Q73" s="33">
        <f>(G73-(H73))/100</f>
        <v>0.1</v>
      </c>
      <c r="R73" s="17">
        <f>F73*(1-(0)/100)*(((1+Q73)^(E73/12)-1)/((1+Q73)^(1/12)-1))*(1+Q73)^(1/12)</f>
        <v>21488.912240848393</v>
      </c>
      <c r="S73" s="33">
        <f>(1+RATE(E73,-F73,0,R73,1))^12-1</f>
        <v>0.09999999999999742</v>
      </c>
      <c r="T73" s="34">
        <f>(G73/100-S73)*100</f>
        <v>0.8500000000002574</v>
      </c>
      <c r="U73" s="33">
        <f>(G73-(I73))/100</f>
        <v>0.1085</v>
      </c>
      <c r="V73" s="17">
        <f>F73*(1-(0)/100)*(((1+U73)^(E73/12)-1)/((1+U73)^(1/12)-1))*(1+U73)^(1/12)</f>
        <v>21580.0605223846</v>
      </c>
      <c r="W73" s="33">
        <f>(1+RATE(E73,-F73,0,V73,1))^12-1</f>
        <v>0.10850000000000337</v>
      </c>
      <c r="X73" s="34">
        <f>(G73/100-W73)*100</f>
        <v>-3.372302437298913e-13</v>
      </c>
      <c r="Y73" s="33">
        <f>(G73-(J73))/100</f>
        <v>0.105</v>
      </c>
      <c r="Z73" s="17">
        <f>F73*(1-(K73)/100)*(((1+Y73)^(E73/12)-1)/((1+Y73)^(1/12)-1))*(1+Y73)^(1/12)</f>
        <v>21170.945272419576</v>
      </c>
      <c r="AA73" s="33">
        <f>(1+RATE(E73,-F73,0,Z73,1))^12-1</f>
        <v>0.07050257034432073</v>
      </c>
      <c r="AB73" s="34">
        <f>(G73/100-AA73)*100</f>
        <v>3.7997429655679276</v>
      </c>
      <c r="AC73" s="34">
        <f>T73+X73+AB73</f>
        <v>4.649742965567848</v>
      </c>
      <c r="AD73" s="24">
        <f>IF(AC73=0,0,ROUND(T73*P73/AC73+1E-9,2))</f>
        <v>0.85</v>
      </c>
      <c r="AE73" s="24">
        <f>IF(AC73=0,0,ROUND(X73*P73/AC73+1E-9,2))</f>
        <v>0</v>
      </c>
      <c r="AF73" s="24">
        <f>IF(AC73=0,0,ROUND(AB73*P73/AC73+1E-9,2))</f>
        <v>3.78</v>
      </c>
      <c r="AG73" s="24">
        <v>0</v>
      </c>
      <c r="AH73" s="35">
        <f>ROUND(AD73+AE73+AF73+AG73+1E-9,2)</f>
        <v>4.63</v>
      </c>
    </row>
    <row r="74" spans="1:34" x14ac:dyDescent="0.25">
      <c r="A74" s="13" t="s">
        <v>105</v>
      </c>
      <c r="B74" s="23">
        <v>2</v>
      </c>
      <c r="C74" s="18">
        <f>IF(ROUND(D74/12,0)&gt;10,CHOOSE(B74,1,5,10,ROUND(D74/12,0)),CHOOSE(B74,1,3,5,ROUND(D74/12,0)))</f>
        <v>5</v>
      </c>
      <c r="D74" s="23">
        <v>240</v>
      </c>
      <c r="E74" s="18">
        <f>C74*12</f>
        <v>60</v>
      </c>
      <c r="F74" s="17">
        <f>INDEX('Fee Switch-Off'!$F$5:$F$30,MATCH($A74,'Fee Switch-Off'!$A$5:$A$30,0))</f>
        <v>1700</v>
      </c>
      <c r="G74" s="32">
        <v>10.85</v>
      </c>
      <c r="H74" s="24">
        <f>IF(ISNUMBER(SEARCH("TFI",INDEX('Fee Switch-Off'!$C$5:$C$30,MATCH($A74,'Fee Switch-Off'!$A$5:$A$30,0)))),Assumptions!$B$8,Assumptions!$B$7)</f>
        <v>0.85</v>
      </c>
      <c r="I74" s="16">
        <f>INDEX('Quote Summary'!$E$5:$E$30,MATCH($A74,'Quote Summary'!$A$5:$A$30,0))</f>
        <v>0</v>
      </c>
      <c r="J74" s="24">
        <f>Assumptions!$B$9</f>
        <v>0.35</v>
      </c>
      <c r="K74" s="16">
        <f>Assumptions!$B$10</f>
        <v>1.725</v>
      </c>
      <c r="L74" s="24">
        <f>Assumptions!$B$11</f>
        <v>0</v>
      </c>
      <c r="M74" s="33">
        <f>(G74-(H74+J74+I74+L74))/100</f>
        <v>0.0965</v>
      </c>
      <c r="N74" s="17">
        <f>F74*(1-(K74)/100)*(((1+M74)^(E74/12)-1)/((1+M74)^(1/12)-1))*(1+M74)^(1/12)</f>
        <v>127809.5506783774</v>
      </c>
      <c r="O74" s="33">
        <f>(1+RATE(E74,-F74,0,N74,1))^12-1</f>
        <v>0.08952386658507683</v>
      </c>
      <c r="P74" s="34">
        <f>(G74/100-O74)*100</f>
        <v>1.897613341492317</v>
      </c>
      <c r="Q74" s="33">
        <f>(G74-(H74))/100</f>
        <v>0.1</v>
      </c>
      <c r="R74" s="17">
        <f>F74*(1-(0)/100)*(((1+Q74)^(E74/12)-1)/((1+Q74)^(1/12)-1))*(1+Q74)^(1/12)</f>
        <v>131191.95812160362</v>
      </c>
      <c r="S74" s="33">
        <f>(1+RATE(E74,-F74,0,R74,1))^12-1</f>
        <v>0.09999999999999742</v>
      </c>
      <c r="T74" s="34">
        <f>(G74/100-S74)*100</f>
        <v>0.8500000000002574</v>
      </c>
      <c r="U74" s="33">
        <f>(G74-(I74))/100</f>
        <v>0.1085</v>
      </c>
      <c r="V74" s="17">
        <f>F74*(1-(0)/100)*(((1+U74)^(E74/12)-1)/((1+U74)^(1/12)-1))*(1+U74)^(1/12)</f>
        <v>133995.93752813083</v>
      </c>
      <c r="W74" s="33">
        <f>(1+RATE(E74,-F74,0,V74,1))^12-1</f>
        <v>0.10850000000000337</v>
      </c>
      <c r="X74" s="34">
        <f>(G74/100-W74)*100</f>
        <v>-3.372302437298913e-13</v>
      </c>
      <c r="Y74" s="33">
        <f>(G74-(J74))/100</f>
        <v>0.105</v>
      </c>
      <c r="Z74" s="17">
        <f>F74*(1-(K74)/100)*(((1+Y74)^(E74/12)-1)/((1+Y74)^(1/12)-1))*(1+Y74)^(1/12)</f>
        <v>130543.42903365765</v>
      </c>
      <c r="AA74" s="33">
        <f>(1+RATE(E74,-F74,0,Z74,1))^12-1</f>
        <v>0.09801054790656316</v>
      </c>
      <c r="AB74" s="34">
        <f>(G74/100-AA74)*100</f>
        <v>1.0489452093436837</v>
      </c>
      <c r="AC74" s="34">
        <f>T74+X74+AB74</f>
        <v>1.898945209343604</v>
      </c>
      <c r="AD74" s="24">
        <f>IF(AC74=0,0,ROUND(T74*P74/AC74+1E-9,2))</f>
        <v>0.85</v>
      </c>
      <c r="AE74" s="24">
        <f>IF(AC74=0,0,ROUND(X74*P74/AC74+1E-9,2))</f>
        <v>0</v>
      </c>
      <c r="AF74" s="24">
        <f>IF(AC74=0,0,ROUND(AB74*P74/AC74+1E-9,2))</f>
        <v>1.05</v>
      </c>
      <c r="AG74" s="24">
        <v>0</v>
      </c>
      <c r="AH74" s="35">
        <f>ROUND(AD74+AE74+AF74+AG74+1E-9,2)</f>
        <v>1.9</v>
      </c>
    </row>
    <row r="75" spans="1:34" x14ac:dyDescent="0.25">
      <c r="A75" s="13" t="s">
        <v>105</v>
      </c>
      <c r="B75" s="23">
        <v>3</v>
      </c>
      <c r="C75" s="18">
        <f>IF(ROUND(D75/12,0)&gt;10,CHOOSE(B75,1,5,10,ROUND(D75/12,0)),CHOOSE(B75,1,3,5,ROUND(D75/12,0)))</f>
        <v>10</v>
      </c>
      <c r="D75" s="23">
        <v>240</v>
      </c>
      <c r="E75" s="18">
        <f>C75*12</f>
        <v>120</v>
      </c>
      <c r="F75" s="17">
        <f>INDEX('Fee Switch-Off'!$F$5:$F$30,MATCH($A75,'Fee Switch-Off'!$A$5:$A$30,0))</f>
        <v>1700</v>
      </c>
      <c r="G75" s="32">
        <v>10.85</v>
      </c>
      <c r="H75" s="24">
        <f>IF(ISNUMBER(SEARCH("TFI",INDEX('Fee Switch-Off'!$C$5:$C$30,MATCH($A75,'Fee Switch-Off'!$A$5:$A$30,0)))),Assumptions!$B$8,Assumptions!$B$7)</f>
        <v>0.85</v>
      </c>
      <c r="I75" s="16">
        <f>INDEX('Quote Summary'!$E$5:$E$30,MATCH($A75,'Quote Summary'!$A$5:$A$30,0))</f>
        <v>0</v>
      </c>
      <c r="J75" s="24">
        <f>Assumptions!$B$9</f>
        <v>0.35</v>
      </c>
      <c r="K75" s="16">
        <f>Assumptions!$B$10</f>
        <v>1.725</v>
      </c>
      <c r="L75" s="24">
        <f>Assumptions!$B$11</f>
        <v>0</v>
      </c>
      <c r="M75" s="33">
        <f>(G75-(H75+J75+I75+L75))/100</f>
        <v>0.0965</v>
      </c>
      <c r="N75" s="17">
        <f>F75*(1-(K75)/100)*(((1+M75)^(E75/12)-1)/((1+M75)^(1/12)-1))*(1+M75)^(1/12)</f>
        <v>330394.17861345405</v>
      </c>
      <c r="O75" s="33">
        <f>(1+RATE(E75,-F75,0,N75,1))^12-1</f>
        <v>0.09320775949311444</v>
      </c>
      <c r="P75" s="34">
        <f>(G75/100-O75)*100</f>
        <v>1.529224050688556</v>
      </c>
      <c r="Q75" s="33">
        <f>(G75-(H75))/100</f>
        <v>0.1</v>
      </c>
      <c r="R75" s="17">
        <f>F75*(1-(0)/100)*(((1+Q75)^(E75/12)-1)/((1+Q75)^(1/12)-1))*(1+Q75)^(1/12)</f>
        <v>342477.9185960277</v>
      </c>
      <c r="S75" s="33">
        <f>(1+RATE(E75,-F75,0,R75,1))^12-1</f>
        <v>0.09999999999999742</v>
      </c>
      <c r="T75" s="34">
        <f>(G75/100-S75)*100</f>
        <v>0.8500000000002574</v>
      </c>
      <c r="U75" s="33">
        <f>(G75-(I75))/100</f>
        <v>0.1085</v>
      </c>
      <c r="V75" s="17">
        <f>F75*(1-(0)/100)*(((1+U75)^(E75/12)-1)/((1+U75)^(1/12)-1))*(1+U75)^(1/12)</f>
        <v>358265.3880157321</v>
      </c>
      <c r="W75" s="33">
        <f>(1+RATE(E75,-F75,0,V75,1))^12-1</f>
        <v>0.10850000000000337</v>
      </c>
      <c r="X75" s="34">
        <f>(G75/100-W75)*100</f>
        <v>-3.372302437298913e-13</v>
      </c>
      <c r="Y75" s="33">
        <f>(G75-(J75))/100</f>
        <v>0.105</v>
      </c>
      <c r="Z75" s="17">
        <f>F75*(1-(K75)/100)*(((1+Y75)^(E75/12)-1)/((1+Y75)^(1/12)-1))*(1+Y75)^(1/12)</f>
        <v>345606.7790099575</v>
      </c>
      <c r="AA75" s="33">
        <f>(1+RATE(E75,-F75,0,Z75,1))^12-1</f>
        <v>0.10171718692432763</v>
      </c>
      <c r="AB75" s="34">
        <f>(G75/100-AA75)*100</f>
        <v>0.6782813075672369</v>
      </c>
      <c r="AC75" s="34">
        <f>T75+X75+AB75</f>
        <v>1.528281307567157</v>
      </c>
      <c r="AD75" s="24">
        <f>IF(AC75=0,0,ROUND(T75*P75/AC75+1E-9,2))</f>
        <v>0.85</v>
      </c>
      <c r="AE75" s="24">
        <f>IF(AC75=0,0,ROUND(X75*P75/AC75+1E-9,2))</f>
        <v>0</v>
      </c>
      <c r="AF75" s="24">
        <f>IF(AC75=0,0,ROUND(AB75*P75/AC75+1E-9,2))</f>
        <v>0.68</v>
      </c>
      <c r="AG75" s="24">
        <v>0</v>
      </c>
      <c r="AH75" s="35">
        <f>ROUND(AD75+AE75+AF75+AG75+1E-9,2)</f>
        <v>1.53</v>
      </c>
    </row>
    <row r="76" spans="1:34" x14ac:dyDescent="0.25">
      <c r="A76" s="13" t="s">
        <v>105</v>
      </c>
      <c r="B76" s="23">
        <v>4</v>
      </c>
      <c r="C76" s="18">
        <f>IF(ROUND(D76/12,0)&gt;10,CHOOSE(B76,1,5,10,ROUND(D76/12,0)),CHOOSE(B76,1,3,5,ROUND(D76/12,0)))</f>
        <v>20</v>
      </c>
      <c r="D76" s="23">
        <v>240</v>
      </c>
      <c r="E76" s="18">
        <f>C76*12</f>
        <v>240</v>
      </c>
      <c r="F76" s="17">
        <f>INDEX('Fee Switch-Off'!$F$5:$F$30,MATCH($A76,'Fee Switch-Off'!$A$5:$A$30,0))</f>
        <v>1700</v>
      </c>
      <c r="G76" s="32">
        <v>10.85</v>
      </c>
      <c r="H76" s="24">
        <f>IF(ISNUMBER(SEARCH("TFI",INDEX('Fee Switch-Off'!$C$5:$C$30,MATCH($A76,'Fee Switch-Off'!$A$5:$A$30,0)))),Assumptions!$B$8,Assumptions!$B$7)</f>
        <v>0.85</v>
      </c>
      <c r="I76" s="16">
        <f>INDEX('Quote Summary'!$E$5:$E$30,MATCH($A76,'Quote Summary'!$A$5:$A$30,0))</f>
        <v>0</v>
      </c>
      <c r="J76" s="24">
        <f>Assumptions!$B$9</f>
        <v>0.35</v>
      </c>
      <c r="K76" s="16">
        <f>Assumptions!$B$10</f>
        <v>1.725</v>
      </c>
      <c r="L76" s="24">
        <f>Assumptions!$B$11</f>
        <v>0</v>
      </c>
      <c r="M76" s="33">
        <f>(G76-(H76+J76+I76+L76))/100</f>
        <v>0.0965</v>
      </c>
      <c r="N76" s="17">
        <f>F76*(1-(K76)/100)*(((1+M76)^(E76/12)-1)/((1+M76)^(1/12)-1))*(1+M76)^(1/12)</f>
        <v>1160471.8787579471</v>
      </c>
      <c r="O76" s="33">
        <f>(1+RATE(E76,-F76,0,N76,1))^12-1</f>
        <v>0.09502566426392467</v>
      </c>
      <c r="P76" s="34">
        <f>(G76/100-O76)*100</f>
        <v>1.347433573607533</v>
      </c>
      <c r="Q76" s="33">
        <f>(G76-(H76))/100</f>
        <v>0.1</v>
      </c>
      <c r="R76" s="17">
        <f>F76*(1-(0)/100)*(((1+Q76)^(E76/12)-1)/((1+Q76)^(1/12)-1))*(1+Q76)^(1/12)</f>
        <v>1230777.4377052188</v>
      </c>
      <c r="S76" s="33">
        <f>(1+RATE(E76,-F76,0,R76,1))^12-1</f>
        <v>0.09999999999999742</v>
      </c>
      <c r="T76" s="34">
        <f>(G76/100-S76)*100</f>
        <v>0.8500000000002574</v>
      </c>
      <c r="U76" s="33">
        <f>(G76-(I76))/100</f>
        <v>0.1085</v>
      </c>
      <c r="V76" s="17">
        <f>F76*(1-(0)/100)*(((1+U76)^(E76/12)-1)/((1+U76)^(1/12)-1))*(1+U76)^(1/12)</f>
        <v>1361868.1030832701</v>
      </c>
      <c r="W76" s="33">
        <f>(1+RATE(E76,-F76,0,V76,1))^12-1</f>
        <v>0.10850000000000337</v>
      </c>
      <c r="X76" s="34">
        <f>(G76/100-W76)*100</f>
        <v>-3.372302437298913e-13</v>
      </c>
      <c r="Y76" s="33">
        <f>(G76-(J76))/100</f>
        <v>0.105</v>
      </c>
      <c r="Z76" s="17">
        <f>F76*(1-(K76)/100)*(((1+Y76)^(E76/12)-1)/((1+Y76)^(1/12)-1))*(1+Y76)^(1/12)</f>
        <v>1283611.5183788545</v>
      </c>
      <c r="AA76" s="33">
        <f>(1+RATE(E76,-F76,0,Z76,1))^12-1</f>
        <v>0.10353872747944615</v>
      </c>
      <c r="AB76" s="34">
        <f>(G76/100-AA76)*100</f>
        <v>0.49612725205538527</v>
      </c>
      <c r="AC76" s="34">
        <f>T76+X76+AB76</f>
        <v>1.3461272520553054</v>
      </c>
      <c r="AD76" s="24">
        <f>IF(AC76=0,0,ROUND(T76*P76/AC76+1E-9,2))</f>
        <v>0.85</v>
      </c>
      <c r="AE76" s="24">
        <f>IF(AC76=0,0,ROUND(X76*P76/AC76+1E-9,2))</f>
        <v>0</v>
      </c>
      <c r="AF76" s="24">
        <f>IF(AC76=0,0,ROUND(AB76*P76/AC76+1E-9,2))</f>
        <v>0.5</v>
      </c>
      <c r="AG76" s="24">
        <v>0</v>
      </c>
      <c r="AH76" s="35">
        <f>ROUND(AD76+AE76+AF76+AG76+1E-9,2)</f>
        <v>1.35</v>
      </c>
    </row>
    <row r="77" spans="1:34" x14ac:dyDescent="0.25">
      <c r="A77" s="13" t="s">
        <v>108</v>
      </c>
      <c r="B77" s="23">
        <v>1</v>
      </c>
      <c r="C77" s="18">
        <f>IF(ROUND(D77/12,0)&gt;10,CHOOSE(B77,1,5,10,ROUND(D77/12,0)),CHOOSE(B77,1,3,5,ROUND(D77/12,0)))</f>
        <v>1</v>
      </c>
      <c r="D77" s="23">
        <v>240</v>
      </c>
      <c r="E77" s="18">
        <f>C77*12</f>
        <v>12</v>
      </c>
      <c r="F77" s="17">
        <f>INDEX('Fee Switch-Off'!$F$5:$F$30,MATCH($A77,'Fee Switch-Off'!$A$5:$A$30,0))</f>
        <v>1250</v>
      </c>
      <c r="G77" s="32">
        <v>8.6</v>
      </c>
      <c r="H77" s="24">
        <f>IF(ISNUMBER(SEARCH("TFI",INDEX('Fee Switch-Off'!$C$5:$C$30,MATCH($A77,'Fee Switch-Off'!$A$5:$A$30,0)))),Assumptions!$B$8,Assumptions!$B$7)</f>
        <v>0.7</v>
      </c>
      <c r="I77" s="16">
        <f>INDEX('Quote Summary'!$E$5:$E$30,MATCH($A77,'Quote Summary'!$A$5:$A$30,0))</f>
        <v>0</v>
      </c>
      <c r="J77" s="24">
        <f>Assumptions!$B$9</f>
        <v>0.35</v>
      </c>
      <c r="K77" s="16">
        <f>Assumptions!$B$10</f>
        <v>1.725</v>
      </c>
      <c r="L77" s="24">
        <f>Assumptions!$B$11</f>
        <v>0</v>
      </c>
      <c r="M77" s="33">
        <f>(G77-(H77+J77+I77+L77))/100</f>
        <v>0.0755</v>
      </c>
      <c r="N77" s="17">
        <f>F77*(1-(K77)/100)*(((1+M77)^(E77/12)-1)/((1+M77)^(1/12)-1))*(1+M77)^(1/12)</f>
        <v>15337.402523838728</v>
      </c>
      <c r="O77" s="33">
        <f>(1+RATE(E77,-F77,0,N77,1))^12-1</f>
        <v>0.0417878174105224</v>
      </c>
      <c r="P77" s="34">
        <f>(G77/100-O77)*100</f>
        <v>4.42121825894776</v>
      </c>
      <c r="Q77" s="33">
        <f>(G77-(H77))/100</f>
        <v>0.07899999999999999</v>
      </c>
      <c r="R77" s="17">
        <f>F77*(1-(0)/100)*(((1+Q77)^(E77/12)-1)/((1+Q77)^(1/12)-1))*(1+Q77)^(1/12)</f>
        <v>15634.419439908947</v>
      </c>
      <c r="S77" s="33">
        <f>(1+RATE(E77,-F77,0,R77,1))^12-1</f>
        <v>0.07899999999999241</v>
      </c>
      <c r="T77" s="34">
        <f>(G77/100-S77)*100</f>
        <v>0.7000000000007583</v>
      </c>
      <c r="U77" s="33">
        <f>(G77-(I77))/100</f>
        <v>0.086</v>
      </c>
      <c r="V77" s="17">
        <f>F77*(1-(0)/100)*(((1+U77)^(E77/12)-1)/((1+U77)^(1/12)-1))*(1+U77)^(1/12)</f>
        <v>15689.943714023027</v>
      </c>
      <c r="W77" s="33">
        <f>(1+RATE(E77,-F77,0,V77,1))^12-1</f>
        <v>0.08600000000000052</v>
      </c>
      <c r="X77" s="34">
        <f>(G77/100-W77)*100</f>
        <v>-5.2735593669694936e-14</v>
      </c>
      <c r="Y77" s="33">
        <f>(G77-(J77))/100</f>
        <v>0.08249999999999999</v>
      </c>
      <c r="Z77" s="17">
        <f>F77*(1-(K77)/100)*(((1+Y77)^(E77/12)-1)/((1+Y77)^(1/12)-1))*(1+Y77)^(1/12)</f>
        <v>15392.022215303683</v>
      </c>
      <c r="AA77" s="33">
        <f>(1+RATE(E77,-F77,0,Z77,1))^12-1</f>
        <v>0.0486012530399722</v>
      </c>
      <c r="AB77" s="34">
        <f>(G77/100-AA77)*100</f>
        <v>3.739874696002779</v>
      </c>
      <c r="AC77" s="34">
        <f>T77+X77+AB77</f>
        <v>4.439874696003485</v>
      </c>
      <c r="AD77" s="24">
        <f>IF(AC77=0,0,ROUND(T77*P77/AC77+1E-9,2))</f>
        <v>0.7</v>
      </c>
      <c r="AE77" s="24">
        <f>IF(AC77=0,0,ROUND(X77*P77/AC77+1E-9,2))</f>
        <v>0</v>
      </c>
      <c r="AF77" s="24">
        <f>IF(AC77=0,0,ROUND(AB77*P77/AC77+1E-9,2))</f>
        <v>3.72</v>
      </c>
      <c r="AG77" s="24">
        <v>0</v>
      </c>
      <c r="AH77" s="35">
        <f>ROUND(AD77+AE77+AF77+AG77+1E-9,2)</f>
        <v>4.42</v>
      </c>
    </row>
    <row r="78" spans="1:34" x14ac:dyDescent="0.25">
      <c r="A78" s="13" t="s">
        <v>108</v>
      </c>
      <c r="B78" s="23">
        <v>2</v>
      </c>
      <c r="C78" s="18">
        <f>IF(ROUND(D78/12,0)&gt;10,CHOOSE(B78,1,5,10,ROUND(D78/12,0)),CHOOSE(B78,1,3,5,ROUND(D78/12,0)))</f>
        <v>5</v>
      </c>
      <c r="D78" s="23">
        <v>240</v>
      </c>
      <c r="E78" s="18">
        <f>C78*12</f>
        <v>60</v>
      </c>
      <c r="F78" s="17">
        <f>INDEX('Fee Switch-Off'!$F$5:$F$30,MATCH($A78,'Fee Switch-Off'!$A$5:$A$30,0))</f>
        <v>1250</v>
      </c>
      <c r="G78" s="32">
        <v>8.6</v>
      </c>
      <c r="H78" s="24">
        <f>IF(ISNUMBER(SEARCH("TFI",INDEX('Fee Switch-Off'!$C$5:$C$30,MATCH($A78,'Fee Switch-Off'!$A$5:$A$30,0)))),Assumptions!$B$8,Assumptions!$B$7)</f>
        <v>0.7</v>
      </c>
      <c r="I78" s="16">
        <f>INDEX('Quote Summary'!$E$5:$E$30,MATCH($A78,'Quote Summary'!$A$5:$A$30,0))</f>
        <v>0</v>
      </c>
      <c r="J78" s="24">
        <f>Assumptions!$B$9</f>
        <v>0.35</v>
      </c>
      <c r="K78" s="16">
        <f>Assumptions!$B$10</f>
        <v>1.725</v>
      </c>
      <c r="L78" s="24">
        <f>Assumptions!$B$11</f>
        <v>0</v>
      </c>
      <c r="M78" s="33">
        <f>(G78-(H78+J78+I78+L78))/100</f>
        <v>0.0755</v>
      </c>
      <c r="N78" s="17">
        <f>F78*(1-(K78)/100)*(((1+M78)^(E78/12)-1)/((1+M78)^(1/12)-1))*(1+M78)^(1/12)</f>
        <v>89174.52387132548</v>
      </c>
      <c r="O78" s="33">
        <f>(1+RATE(E78,-F78,0,N78,1))^12-1</f>
        <v>0.06855576426995436</v>
      </c>
      <c r="P78" s="34">
        <f>(G78/100-O78)*100</f>
        <v>1.7444235730045636</v>
      </c>
      <c r="Q78" s="33">
        <f>(G78-(H78))/100</f>
        <v>0.07899999999999999</v>
      </c>
      <c r="R78" s="17">
        <f>F78*(1-(0)/100)*(((1+Q78)^(E78/12)-1)/((1+Q78)^(1/12)-1))*(1+Q78)^(1/12)</f>
        <v>91538.18352885246</v>
      </c>
      <c r="S78" s="33">
        <f>(1+RATE(E78,-F78,0,R78,1))^12-1</f>
        <v>0.07899999999999818</v>
      </c>
      <c r="T78" s="34">
        <f>(G78/100-S78)*100</f>
        <v>0.700000000000181</v>
      </c>
      <c r="U78" s="33">
        <f>(G78-(I78))/100</f>
        <v>0.086</v>
      </c>
      <c r="V78" s="17">
        <f>F78*(1-(0)/100)*(((1+U78)^(E78/12)-1)/((1+U78)^(1/12)-1))*(1+U78)^(1/12)</f>
        <v>93154.2550681832</v>
      </c>
      <c r="W78" s="33">
        <f>(1+RATE(E78,-F78,0,V78,1))^12-1</f>
        <v>0.08600000000000052</v>
      </c>
      <c r="X78" s="34">
        <f>(G78/100-W78)*100</f>
        <v>-5.2735593669694936e-14</v>
      </c>
      <c r="Y78" s="33">
        <f>(G78-(J78))/100</f>
        <v>0.08249999999999999</v>
      </c>
      <c r="Z78" s="17">
        <f>F78*(1-(K78)/100)*(((1+Y78)^(E78/12)-1)/((1+Y78)^(1/12)-1))*(1+Y78)^(1/12)</f>
        <v>90750.07625707476</v>
      </c>
      <c r="AA78" s="33">
        <f>(1+RATE(E78,-F78,0,Z78,1))^12-1</f>
        <v>0.07554529256485698</v>
      </c>
      <c r="AB78" s="34">
        <f>(G78/100-AA78)*100</f>
        <v>1.0454707435143011</v>
      </c>
      <c r="AC78" s="34">
        <f>T78+X78+AB78</f>
        <v>1.7454707435144294</v>
      </c>
      <c r="AD78" s="24">
        <f>IF(AC78=0,0,ROUND(T78*P78/AC78+1E-9,2))</f>
        <v>0.7</v>
      </c>
      <c r="AE78" s="24">
        <f>IF(AC78=0,0,ROUND(X78*P78/AC78+1E-9,2))</f>
        <v>0</v>
      </c>
      <c r="AF78" s="24">
        <f>IF(AC78=0,0,ROUND(AB78*P78/AC78+1E-9,2))</f>
        <v>1.04</v>
      </c>
      <c r="AG78" s="24">
        <v>0</v>
      </c>
      <c r="AH78" s="35">
        <f>ROUND(AD78+AE78+AF78+AG78+1E-9,2)</f>
        <v>1.74</v>
      </c>
    </row>
    <row r="79" spans="1:34" x14ac:dyDescent="0.25">
      <c r="A79" s="13" t="s">
        <v>108</v>
      </c>
      <c r="B79" s="23">
        <v>3</v>
      </c>
      <c r="C79" s="18">
        <f>IF(ROUND(D79/12,0)&gt;10,CHOOSE(B79,1,5,10,ROUND(D79/12,0)),CHOOSE(B79,1,3,5,ROUND(D79/12,0)))</f>
        <v>10</v>
      </c>
      <c r="D79" s="23">
        <v>240</v>
      </c>
      <c r="E79" s="18">
        <f>C79*12</f>
        <v>120</v>
      </c>
      <c r="F79" s="17">
        <f>INDEX('Fee Switch-Off'!$F$5:$F$30,MATCH($A79,'Fee Switch-Off'!$A$5:$A$30,0))</f>
        <v>1250</v>
      </c>
      <c r="G79" s="32">
        <v>8.6</v>
      </c>
      <c r="H79" s="24">
        <f>IF(ISNUMBER(SEARCH("TFI",INDEX('Fee Switch-Off'!$C$5:$C$30,MATCH($A79,'Fee Switch-Off'!$A$5:$A$30,0)))),Assumptions!$B$8,Assumptions!$B$7)</f>
        <v>0.7</v>
      </c>
      <c r="I79" s="16">
        <f>INDEX('Quote Summary'!$E$5:$E$30,MATCH($A79,'Quote Summary'!$A$5:$A$30,0))</f>
        <v>0</v>
      </c>
      <c r="J79" s="24">
        <f>Assumptions!$B$9</f>
        <v>0.35</v>
      </c>
      <c r="K79" s="16">
        <f>Assumptions!$B$10</f>
        <v>1.725</v>
      </c>
      <c r="L79" s="24">
        <f>Assumptions!$B$11</f>
        <v>0</v>
      </c>
      <c r="M79" s="33">
        <f>(G79-(H79+J79+I79+L79))/100</f>
        <v>0.0755</v>
      </c>
      <c r="N79" s="17">
        <f>F79*(1-(K79)/100)*(((1+M79)^(E79/12)-1)/((1+M79)^(1/12)-1))*(1+M79)^(1/12)</f>
        <v>217494.08713224062</v>
      </c>
      <c r="O79" s="33">
        <f>(1+RATE(E79,-F79,0,N79,1))^12-1</f>
        <v>0.07218130291115643</v>
      </c>
      <c r="P79" s="34">
        <f>(G79/100-O79)*100</f>
        <v>1.3818697088843561</v>
      </c>
      <c r="Q79" s="33">
        <f>(G79-(H79))/100</f>
        <v>0.07899999999999999</v>
      </c>
      <c r="R79" s="17">
        <f>F79*(1-(0)/100)*(((1+Q79)^(E79/12)-1)/((1+Q79)^(1/12)-1))*(1+Q79)^(1/12)</f>
        <v>225416.27529679533</v>
      </c>
      <c r="S79" s="33">
        <f>(1+RATE(E79,-F79,0,R79,1))^12-1</f>
        <v>0.07899999999999818</v>
      </c>
      <c r="T79" s="34">
        <f>(G79/100-S79)*100</f>
        <v>0.700000000000181</v>
      </c>
      <c r="U79" s="33">
        <f>(G79-(I79))/100</f>
        <v>0.086</v>
      </c>
      <c r="V79" s="17">
        <f>F79*(1-(0)/100)*(((1+U79)^(E79/12)-1)/((1+U79)^(1/12)-1))*(1+U79)^(1/12)</f>
        <v>233872.95804075923</v>
      </c>
      <c r="W79" s="33">
        <f>(1+RATE(E79,-F79,0,V79,1))^12-1</f>
        <v>0.08600000000000052</v>
      </c>
      <c r="X79" s="34">
        <f>(G79/100-W79)*100</f>
        <v>-5.2735593669694936e-14</v>
      </c>
      <c r="Y79" s="33">
        <f>(G79-(J79))/100</f>
        <v>0.08249999999999999</v>
      </c>
      <c r="Z79" s="17">
        <f>F79*(1-(K79)/100)*(((1+Y79)^(E79/12)-1)/((1+Y79)^(1/12)-1))*(1+Y79)^(1/12)</f>
        <v>225642.17872752933</v>
      </c>
      <c r="AA79" s="33">
        <f>(1+RATE(E79,-F79,0,Z79,1))^12-1</f>
        <v>0.07919063451727903</v>
      </c>
      <c r="AB79" s="34">
        <f>(G79/100-AA79)*100</f>
        <v>0.6809365482720958</v>
      </c>
      <c r="AC79" s="34">
        <f>T79+X79+AB79</f>
        <v>1.3809365482722242</v>
      </c>
      <c r="AD79" s="24">
        <f>IF(AC79=0,0,ROUND(T79*P79/AC79+1E-9,2))</f>
        <v>0.7</v>
      </c>
      <c r="AE79" s="24">
        <f>IF(AC79=0,0,ROUND(X79*P79/AC79+1E-9,2))</f>
        <v>0</v>
      </c>
      <c r="AF79" s="24">
        <f>IF(AC79=0,0,ROUND(AB79*P79/AC79+1E-9,2))</f>
        <v>0.68</v>
      </c>
      <c r="AG79" s="24">
        <v>0</v>
      </c>
      <c r="AH79" s="35">
        <f>ROUND(AD79+AE79+AF79+AG79+1E-9,2)</f>
        <v>1.38</v>
      </c>
    </row>
    <row r="80" spans="1:34" x14ac:dyDescent="0.25">
      <c r="A80" s="13" t="s">
        <v>108</v>
      </c>
      <c r="B80" s="23">
        <v>4</v>
      </c>
      <c r="C80" s="18">
        <f>IF(ROUND(D80/12,0)&gt;10,CHOOSE(B80,1,5,10,ROUND(D80/12,0)),CHOOSE(B80,1,3,5,ROUND(D80/12,0)))</f>
        <v>20</v>
      </c>
      <c r="D80" s="23">
        <v>240</v>
      </c>
      <c r="E80" s="18">
        <f>C80*12</f>
        <v>240</v>
      </c>
      <c r="F80" s="17">
        <f>INDEX('Fee Switch-Off'!$F$5:$F$30,MATCH($A80,'Fee Switch-Off'!$A$5:$A$30,0))</f>
        <v>1250</v>
      </c>
      <c r="G80" s="32">
        <v>8.6</v>
      </c>
      <c r="H80" s="24">
        <f>IF(ISNUMBER(SEARCH("TFI",INDEX('Fee Switch-Off'!$C$5:$C$30,MATCH($A80,'Fee Switch-Off'!$A$5:$A$30,0)))),Assumptions!$B$8,Assumptions!$B$7)</f>
        <v>0.7</v>
      </c>
      <c r="I80" s="16">
        <f>INDEX('Quote Summary'!$E$5:$E$30,MATCH($A80,'Quote Summary'!$A$5:$A$30,0))</f>
        <v>0</v>
      </c>
      <c r="J80" s="24">
        <f>Assumptions!$B$9</f>
        <v>0.35</v>
      </c>
      <c r="K80" s="16">
        <f>Assumptions!$B$10</f>
        <v>1.725</v>
      </c>
      <c r="L80" s="24">
        <f>Assumptions!$B$11</f>
        <v>0</v>
      </c>
      <c r="M80" s="33">
        <f>(G80-(H80+J80+I80+L80))/100</f>
        <v>0.0755</v>
      </c>
      <c r="N80" s="17">
        <f>F80*(1-(K80)/100)*(((1+M80)^(E80/12)-1)/((1+M80)^(1/12)-1))*(1+M80)^(1/12)</f>
        <v>667845.5749051194</v>
      </c>
      <c r="O80" s="33">
        <f>(1+RATE(E80,-F80,0,N80,1))^12-1</f>
        <v>0.07398758344004142</v>
      </c>
      <c r="P80" s="34">
        <f>(G80/100-O80)*100</f>
        <v>1.2012416559958576</v>
      </c>
      <c r="Q80" s="33">
        <f>(G80-(H80))/100</f>
        <v>0.07899999999999999</v>
      </c>
      <c r="R80" s="17">
        <f>F80*(1-(0)/100)*(((1+Q80)^(E80/12)-1)/((1+Q80)^(1/12)-1))*(1+Q80)^(1/12)</f>
        <v>707585.7541106383</v>
      </c>
      <c r="S80" s="33">
        <f>(1+RATE(E80,-F80,0,R80,1))^12-1</f>
        <v>0.07899999999999818</v>
      </c>
      <c r="T80" s="34">
        <f>(G80/100-S80)*100</f>
        <v>0.700000000000181</v>
      </c>
      <c r="U80" s="33">
        <f>(G80-(I80))/100</f>
        <v>0.086</v>
      </c>
      <c r="V80" s="17">
        <f>F80*(1-(0)/100)*(((1+U80)^(E80/12)-1)/((1+U80)^(1/12)-1))*(1+U80)^(1/12)</f>
        <v>767549.6814086724</v>
      </c>
      <c r="W80" s="33">
        <f>(1+RATE(E80,-F80,0,V80,1))^12-1</f>
        <v>0.08600000000000052</v>
      </c>
      <c r="X80" s="34">
        <f>(G80/100-W80)*100</f>
        <v>-5.2735593669694936e-14</v>
      </c>
      <c r="Y80" s="33">
        <f>(G80-(J80))/100</f>
        <v>0.08249999999999999</v>
      </c>
      <c r="Z80" s="17">
        <f>F80*(1-(K80)/100)*(((1+Y80)^(E80/12)-1)/((1+Y80)^(1/12)-1))*(1+Y80)^(1/12)</f>
        <v>724181.4043127799</v>
      </c>
      <c r="AA80" s="33">
        <f>(1+RATE(E80,-F80,0,Z80,1))^12-1</f>
        <v>0.08100124577386092</v>
      </c>
      <c r="AB80" s="34">
        <f>(G80/100-AA80)*100</f>
        <v>0.4998754226139074</v>
      </c>
      <c r="AC80" s="34">
        <f>T80+X80+AB80</f>
        <v>1.1998754226140358</v>
      </c>
      <c r="AD80" s="24">
        <f>IF(AC80=0,0,ROUND(T80*P80/AC80+1E-9,2))</f>
        <v>0.7</v>
      </c>
      <c r="AE80" s="24">
        <f>IF(AC80=0,0,ROUND(X80*P80/AC80+1E-9,2))</f>
        <v>0</v>
      </c>
      <c r="AF80" s="24">
        <f>IF(AC80=0,0,ROUND(AB80*P80/AC80+1E-9,2))</f>
        <v>0.5</v>
      </c>
      <c r="AG80" s="24">
        <v>0</v>
      </c>
      <c r="AH80" s="35">
        <f>ROUND(AD80+AE80+AF80+AG80+1E-9,2)</f>
        <v>1.2</v>
      </c>
    </row>
    <row r="81" spans="1:34" x14ac:dyDescent="0.25">
      <c r="A81" s="13" t="s">
        <v>111</v>
      </c>
      <c r="B81" s="23">
        <v>1</v>
      </c>
      <c r="C81" s="18">
        <f>IF(ROUND(D81/12,0)&gt;10,CHOOSE(B81,1,5,10,ROUND(D81/12,0)),CHOOSE(B81,1,3,5,ROUND(D81/12,0)))</f>
        <v>1</v>
      </c>
      <c r="D81" s="23">
        <v>240</v>
      </c>
      <c r="E81" s="18">
        <f>C81*12</f>
        <v>12</v>
      </c>
      <c r="F81" s="17">
        <f>INDEX('Fee Switch-Off'!$F$5:$F$30,MATCH($A81,'Fee Switch-Off'!$A$5:$A$30,0))</f>
        <v>2600</v>
      </c>
      <c r="G81" s="32">
        <v>9.05</v>
      </c>
      <c r="H81" s="24">
        <f>IF(ISNUMBER(SEARCH("TFI",INDEX('Fee Switch-Off'!$C$5:$C$30,MATCH($A81,'Fee Switch-Off'!$A$5:$A$30,0)))),Assumptions!$B$8,Assumptions!$B$7)</f>
        <v>0.85</v>
      </c>
      <c r="I81" s="16">
        <f>INDEX('Quote Summary'!$E$5:$E$30,MATCH($A81,'Quote Summary'!$A$5:$A$30,0))</f>
        <v>0</v>
      </c>
      <c r="J81" s="24">
        <f>Assumptions!$B$9</f>
        <v>0.35</v>
      </c>
      <c r="K81" s="16">
        <f>Assumptions!$B$10</f>
        <v>1.725</v>
      </c>
      <c r="L81" s="24">
        <f>Assumptions!$B$11</f>
        <v>0</v>
      </c>
      <c r="M81" s="33">
        <f>(G81-(H81+J81+I81+L81))/100</f>
        <v>0.07850000000000001</v>
      </c>
      <c r="N81" s="17">
        <f>F81*(1-(K81)/100)*(((1+M81)^(E81/12)-1)/((1+M81)^(1/12)-1))*(1+M81)^(1/12)</f>
        <v>31950.513980142183</v>
      </c>
      <c r="O81" s="33">
        <f>(1+RATE(E81,-F81,0,N81,1))^12-1</f>
        <v>0.044707843178733775</v>
      </c>
      <c r="P81" s="34">
        <f>(G81/100-O81)*100</f>
        <v>4.579215682126623</v>
      </c>
      <c r="Q81" s="33">
        <f>(G81-(H81))/100</f>
        <v>0.08200000000000002</v>
      </c>
      <c r="R81" s="17">
        <f>F81*(1-(0)/100)*(((1+Q81)^(E81/12)-1)/((1+Q81)^(1/12)-1))*(1+Q81)^(1/12)</f>
        <v>32569.115879723435</v>
      </c>
      <c r="S81" s="33">
        <f>(1+RATE(E81,-F81,0,R81,1))^12-1</f>
        <v>0.08199999999999474</v>
      </c>
      <c r="T81" s="34">
        <f>(G81/100-S81)*100</f>
        <v>0.8500000000005268</v>
      </c>
      <c r="U81" s="33">
        <f>(G81-(I81))/100</f>
        <v>0.09050000000000001</v>
      </c>
      <c r="V81" s="17">
        <f>F81*(1-(0)/100)*(((1+U81)^(E81/12)-1)/((1+U81)^(1/12)-1))*(1+U81)^(1/12)</f>
        <v>32709.208592773797</v>
      </c>
      <c r="W81" s="33">
        <f>(1+RATE(E81,-F81,0,V81,1))^12-1</f>
        <v>0.0904999999999958</v>
      </c>
      <c r="X81" s="34">
        <f>(G81/100-W81)*100</f>
        <v>4.2049697057677804e-13</v>
      </c>
      <c r="Y81" s="33">
        <f>(G81-(J81))/100</f>
        <v>0.08700000000000001</v>
      </c>
      <c r="Z81" s="17">
        <f>F81*(1-(K81)/100)*(((1+Y81)^(E81/12)-1)/((1+Y81)^(1/12)-1))*(1+Y81)^(1/12)</f>
        <v>32088.323795599914</v>
      </c>
      <c r="AA81" s="33">
        <f>(1+RATE(E81,-F81,0,Z81,1))^12-1</f>
        <v>0.05298139645956401</v>
      </c>
      <c r="AB81" s="34">
        <f>(G81/100-AA81)*100</f>
        <v>3.7518603540436</v>
      </c>
      <c r="AC81" s="34">
        <f>T81+X81+AB81</f>
        <v>4.601860354044547</v>
      </c>
      <c r="AD81" s="24">
        <f>IF(AC81=0,0,ROUND(T81*P81/AC81+1E-9,2))</f>
        <v>0.85</v>
      </c>
      <c r="AE81" s="24">
        <f>IF(AC81=0,0,ROUND(X81*P81/AC81+1E-9,2))</f>
        <v>0</v>
      </c>
      <c r="AF81" s="24">
        <f>IF(AC81=0,0,ROUND(AB81*P81/AC81+1E-9,2))</f>
        <v>3.73</v>
      </c>
      <c r="AG81" s="24">
        <v>0</v>
      </c>
      <c r="AH81" s="35">
        <f>ROUND(AD81+AE81+AF81+AG81+1E-9,2)</f>
        <v>4.58</v>
      </c>
    </row>
    <row r="82" spans="1:34" x14ac:dyDescent="0.25">
      <c r="A82" s="13" t="s">
        <v>111</v>
      </c>
      <c r="B82" s="23">
        <v>2</v>
      </c>
      <c r="C82" s="18">
        <f>IF(ROUND(D82/12,0)&gt;10,CHOOSE(B82,1,5,10,ROUND(D82/12,0)),CHOOSE(B82,1,3,5,ROUND(D82/12,0)))</f>
        <v>5</v>
      </c>
      <c r="D82" s="23">
        <v>240</v>
      </c>
      <c r="E82" s="18">
        <f>C82*12</f>
        <v>60</v>
      </c>
      <c r="F82" s="17">
        <f>INDEX('Fee Switch-Off'!$F$5:$F$30,MATCH($A82,'Fee Switch-Off'!$A$5:$A$30,0))</f>
        <v>2600</v>
      </c>
      <c r="G82" s="32">
        <v>9.05</v>
      </c>
      <c r="H82" s="24">
        <f>IF(ISNUMBER(SEARCH("TFI",INDEX('Fee Switch-Off'!$C$5:$C$30,MATCH($A82,'Fee Switch-Off'!$A$5:$A$30,0)))),Assumptions!$B$8,Assumptions!$B$7)</f>
        <v>0.85</v>
      </c>
      <c r="I82" s="16">
        <f>INDEX('Quote Summary'!$E$5:$E$30,MATCH($A82,'Quote Summary'!$A$5:$A$30,0))</f>
        <v>0</v>
      </c>
      <c r="J82" s="24">
        <f>Assumptions!$B$9</f>
        <v>0.35</v>
      </c>
      <c r="K82" s="16">
        <f>Assumptions!$B$10</f>
        <v>1.725</v>
      </c>
      <c r="L82" s="24">
        <f>Assumptions!$B$11</f>
        <v>0</v>
      </c>
      <c r="M82" s="33">
        <f>(G82-(H82+J82+I82+L82))/100</f>
        <v>0.07850000000000001</v>
      </c>
      <c r="N82" s="17">
        <f>F82*(1-(K82)/100)*(((1+M82)^(E82/12)-1)/((1+M82)^(1/12)-1))*(1+M82)^(1/12)</f>
        <v>186881.08535911562</v>
      </c>
      <c r="O82" s="33">
        <f>(1+RATE(E82,-F82,0,N82,1))^12-1</f>
        <v>0.0715512962394671</v>
      </c>
      <c r="P82" s="34">
        <f>(G82/100-O82)*100</f>
        <v>1.8948703760532912</v>
      </c>
      <c r="Q82" s="33">
        <f>(G82-(H82))/100</f>
        <v>0.08200000000000002</v>
      </c>
      <c r="R82" s="17">
        <f>F82*(1-(0)/100)*(((1+Q82)^(E82/12)-1)/((1+Q82)^(1/12)-1))*(1+Q82)^(1/12)</f>
        <v>191833.46213376423</v>
      </c>
      <c r="S82" s="33">
        <f>(1+RATE(E82,-F82,0,R82,1))^12-1</f>
        <v>0.08199999999999474</v>
      </c>
      <c r="T82" s="34">
        <f>(G82/100-S82)*100</f>
        <v>0.8500000000005268</v>
      </c>
      <c r="U82" s="33">
        <f>(G82-(I82))/100</f>
        <v>0.09050000000000001</v>
      </c>
      <c r="V82" s="17">
        <f>F82*(1-(0)/100)*(((1+U82)^(E82/12)-1)/((1+U82)^(1/12)-1))*(1+U82)^(1/12)</f>
        <v>195950.26004673514</v>
      </c>
      <c r="W82" s="33">
        <f>(1+RATE(E82,-F82,0,V82,1))^12-1</f>
        <v>0.0904999999999958</v>
      </c>
      <c r="X82" s="34">
        <f>(G82/100-W82)*100</f>
        <v>4.2049697057677804e-13</v>
      </c>
      <c r="Y82" s="33">
        <f>(G82-(J82))/100</f>
        <v>0.08700000000000001</v>
      </c>
      <c r="Z82" s="17">
        <f>F82*(1-(K82)/100)*(((1+Y82)^(E82/12)-1)/((1+Y82)^(1/12)-1))*(1+Y82)^(1/12)</f>
        <v>190894.715528083</v>
      </c>
      <c r="AA82" s="33">
        <f>(1+RATE(E82,-F82,0,Z82,1))^12-1</f>
        <v>0.08003847547779963</v>
      </c>
      <c r="AB82" s="34">
        <f>(G82/100-AA82)*100</f>
        <v>1.046152452220038</v>
      </c>
      <c r="AC82" s="34">
        <f>T82+X82+AB82</f>
        <v>1.8961524522209854</v>
      </c>
      <c r="AD82" s="24">
        <f>IF(AC82=0,0,ROUND(T82*P82/AC82+1E-9,2))</f>
        <v>0.85</v>
      </c>
      <c r="AE82" s="24">
        <f>IF(AC82=0,0,ROUND(X82*P82/AC82+1E-9,2))</f>
        <v>0</v>
      </c>
      <c r="AF82" s="24">
        <f>IF(AC82=0,0,ROUND(AB82*P82/AC82+1E-9,2))</f>
        <v>1.05</v>
      </c>
      <c r="AG82" s="24">
        <v>0</v>
      </c>
      <c r="AH82" s="35">
        <f>ROUND(AD82+AE82+AF82+AG82+1E-9,2)</f>
        <v>1.9</v>
      </c>
    </row>
    <row r="83" spans="1:34" x14ac:dyDescent="0.25">
      <c r="A83" s="13" t="s">
        <v>111</v>
      </c>
      <c r="B83" s="23">
        <v>3</v>
      </c>
      <c r="C83" s="18">
        <f>IF(ROUND(D83/12,0)&gt;10,CHOOSE(B83,1,5,10,ROUND(D83/12,0)),CHOOSE(B83,1,3,5,ROUND(D83/12,0)))</f>
        <v>10</v>
      </c>
      <c r="D83" s="23">
        <v>240</v>
      </c>
      <c r="E83" s="18">
        <f>C83*12</f>
        <v>120</v>
      </c>
      <c r="F83" s="17">
        <f>INDEX('Fee Switch-Off'!$F$5:$F$30,MATCH($A83,'Fee Switch-Off'!$A$5:$A$30,0))</f>
        <v>2600</v>
      </c>
      <c r="G83" s="32">
        <v>9.05</v>
      </c>
      <c r="H83" s="24">
        <f>IF(ISNUMBER(SEARCH("TFI",INDEX('Fee Switch-Off'!$C$5:$C$30,MATCH($A83,'Fee Switch-Off'!$A$5:$A$30,0)))),Assumptions!$B$8,Assumptions!$B$7)</f>
        <v>0.85</v>
      </c>
      <c r="I83" s="16">
        <f>INDEX('Quote Summary'!$E$5:$E$30,MATCH($A83,'Quote Summary'!$A$5:$A$30,0))</f>
        <v>0</v>
      </c>
      <c r="J83" s="24">
        <f>Assumptions!$B$9</f>
        <v>0.35</v>
      </c>
      <c r="K83" s="16">
        <f>Assumptions!$B$10</f>
        <v>1.725</v>
      </c>
      <c r="L83" s="24">
        <f>Assumptions!$B$11</f>
        <v>0</v>
      </c>
      <c r="M83" s="33">
        <f>(G83-(H83+J83+I83+L83))/100</f>
        <v>0.07850000000000001</v>
      </c>
      <c r="N83" s="17">
        <f>F83*(1-(K83)/100)*(((1+M83)^(E83/12)-1)/((1+M83)^(1/12)-1))*(1+M83)^(1/12)</f>
        <v>459569.12821526884</v>
      </c>
      <c r="O83" s="33">
        <f>(1+RATE(E83,-F83,0,N83,1))^12-1</f>
        <v>0.07518536614203963</v>
      </c>
      <c r="P83" s="34">
        <f>(G83/100-O83)*100</f>
        <v>1.5314633857960378</v>
      </c>
      <c r="Q83" s="33">
        <f>(G83-(H83))/100</f>
        <v>0.08200000000000002</v>
      </c>
      <c r="R83" s="17">
        <f>F83*(1-(0)/100)*(((1+Q83)^(E83/12)-1)/((1+Q83)^(1/12)-1))*(1+Q83)^(1/12)</f>
        <v>476319.3113040845</v>
      </c>
      <c r="S83" s="33">
        <f>(1+RATE(E83,-F83,0,R83,1))^12-1</f>
        <v>0.08200000000000052</v>
      </c>
      <c r="T83" s="34">
        <f>(G83/100-S83)*100</f>
        <v>0.8499999999999495</v>
      </c>
      <c r="U83" s="33">
        <f>(G83-(I83))/100</f>
        <v>0.09050000000000001</v>
      </c>
      <c r="V83" s="17">
        <f>F83*(1-(0)/100)*(((1+U83)^(E83/12)-1)/((1+U83)^(1/12)-1))*(1+U83)^(1/12)</f>
        <v>498136.158276667</v>
      </c>
      <c r="W83" s="33">
        <f>(1+RATE(E83,-F83,0,V83,1))^12-1</f>
        <v>0.0904999999999958</v>
      </c>
      <c r="X83" s="34">
        <f>(G83/100-W83)*100</f>
        <v>4.2049697057677804e-13</v>
      </c>
      <c r="Y83" s="33">
        <f>(G83-(J83))/100</f>
        <v>0.08700000000000001</v>
      </c>
      <c r="Z83" s="17">
        <f>F83*(1-(K83)/100)*(((1+Y83)^(E83/12)-1)/((1+Y83)^(1/12)-1))*(1+Y83)^(1/12)</f>
        <v>480590.13378013746</v>
      </c>
      <c r="AA83" s="33">
        <f>(1+RATE(E83,-F83,0,Z83,1))^12-1</f>
        <v>0.08369635995207325</v>
      </c>
      <c r="AB83" s="34">
        <f>(G83/100-AA83)*100</f>
        <v>0.680364004792676</v>
      </c>
      <c r="AC83" s="34">
        <f>T83+X83+AB83</f>
        <v>1.530364004793046</v>
      </c>
      <c r="AD83" s="24">
        <f>IF(AC83=0,0,ROUND(T83*P83/AC83+1E-9,2))</f>
        <v>0.85</v>
      </c>
      <c r="AE83" s="24">
        <f>IF(AC83=0,0,ROUND(X83*P83/AC83+1E-9,2))</f>
        <v>0</v>
      </c>
      <c r="AF83" s="24">
        <f>IF(AC83=0,0,ROUND(AB83*P83/AC83+1E-9,2))</f>
        <v>0.68</v>
      </c>
      <c r="AG83" s="24">
        <v>0</v>
      </c>
      <c r="AH83" s="35">
        <f>ROUND(AD83+AE83+AF83+AG83+1E-9,2)</f>
        <v>1.53</v>
      </c>
    </row>
    <row r="84" spans="1:34" x14ac:dyDescent="0.25">
      <c r="A84" s="13" t="s">
        <v>111</v>
      </c>
      <c r="B84" s="23">
        <v>4</v>
      </c>
      <c r="C84" s="18">
        <f>IF(ROUND(D84/12,0)&gt;10,CHOOSE(B84,1,5,10,ROUND(D84/12,0)),CHOOSE(B84,1,3,5,ROUND(D84/12,0)))</f>
        <v>20</v>
      </c>
      <c r="D84" s="23">
        <v>240</v>
      </c>
      <c r="E84" s="18">
        <f>C84*12</f>
        <v>240</v>
      </c>
      <c r="F84" s="17">
        <f>INDEX('Fee Switch-Off'!$F$5:$F$30,MATCH($A84,'Fee Switch-Off'!$A$5:$A$30,0))</f>
        <v>2600</v>
      </c>
      <c r="G84" s="32">
        <v>9.05</v>
      </c>
      <c r="H84" s="24">
        <f>IF(ISNUMBER(SEARCH("TFI",INDEX('Fee Switch-Off'!$C$5:$C$30,MATCH($A84,'Fee Switch-Off'!$A$5:$A$30,0)))),Assumptions!$B$8,Assumptions!$B$7)</f>
        <v>0.85</v>
      </c>
      <c r="I84" s="16">
        <f>INDEX('Quote Summary'!$E$5:$E$30,MATCH($A84,'Quote Summary'!$A$5:$A$30,0))</f>
        <v>0</v>
      </c>
      <c r="J84" s="24">
        <f>Assumptions!$B$9</f>
        <v>0.35</v>
      </c>
      <c r="K84" s="16">
        <f>Assumptions!$B$10</f>
        <v>1.725</v>
      </c>
      <c r="L84" s="24">
        <f>Assumptions!$B$11</f>
        <v>0</v>
      </c>
      <c r="M84" s="33">
        <f>(G84-(H84+J84+I84+L84))/100</f>
        <v>0.07850000000000001</v>
      </c>
      <c r="N84" s="17">
        <f>F84*(1-(K84)/100)*(((1+M84)^(E84/12)-1)/((1+M84)^(1/12)-1))*(1+M84)^(1/12)</f>
        <v>1438050.0030013414</v>
      </c>
      <c r="O84" s="33">
        <f>(1+RATE(E84,-F84,0,N84,1))^12-1</f>
        <v>0.07699356240541744</v>
      </c>
      <c r="P84" s="34">
        <f>(G84/100-O84)*100</f>
        <v>1.3506437594582574</v>
      </c>
      <c r="Q84" s="33">
        <f>(G84-(H84))/100</f>
        <v>0.08200000000000002</v>
      </c>
      <c r="R84" s="17">
        <f>F84*(1-(0)/100)*(((1+Q84)^(E84/12)-1)/((1+Q84)^(1/12)-1))*(1+Q84)^(1/12)</f>
        <v>1523859.7496121328</v>
      </c>
      <c r="S84" s="33">
        <f>(1+RATE(E84,-F84,0,R84,1))^12-1</f>
        <v>0.08200000000000052</v>
      </c>
      <c r="T84" s="34">
        <f>(G84/100-S84)*100</f>
        <v>0.8499999999999495</v>
      </c>
      <c r="U84" s="33">
        <f>(G84-(I84))/100</f>
        <v>0.09050000000000001</v>
      </c>
      <c r="V84" s="17">
        <f>F84*(1-(0)/100)*(((1+U84)^(E84/12)-1)/((1+U84)^(1/12)-1))*(1+U84)^(1/12)</f>
        <v>1682826.2773082717</v>
      </c>
      <c r="W84" s="33">
        <f>(1+RATE(E84,-F84,0,V84,1))^12-1</f>
        <v>0.0904999999999958</v>
      </c>
      <c r="X84" s="34">
        <f>(G84/100-W84)*100</f>
        <v>4.2049697057677804e-13</v>
      </c>
      <c r="Y84" s="33">
        <f>(G84-(J84))/100</f>
        <v>0.08700000000000001</v>
      </c>
      <c r="Z84" s="17">
        <f>F84*(1-(K84)/100)*(((1+Y84)^(E84/12)-1)/((1+Y84)^(1/12)-1))*(1+Y84)^(1/12)</f>
        <v>1587393.0420183653</v>
      </c>
      <c r="AA84" s="33">
        <f>(1+RATE(E84,-F84,0,Z84,1))^12-1</f>
        <v>0.08550950574718996</v>
      </c>
      <c r="AB84" s="34">
        <f>(G84/100-AA84)*100</f>
        <v>0.4990494252810049</v>
      </c>
      <c r="AC84" s="34">
        <f>T84+X84+AB84</f>
        <v>1.349049425281375</v>
      </c>
      <c r="AD84" s="24">
        <f>IF(AC84=0,0,ROUND(T84*P84/AC84+1E-9,2))</f>
        <v>0.85</v>
      </c>
      <c r="AE84" s="24">
        <f>IF(AC84=0,0,ROUND(X84*P84/AC84+1E-9,2))</f>
        <v>0</v>
      </c>
      <c r="AF84" s="24">
        <f>IF(AC84=0,0,ROUND(AB84*P84/AC84+1E-9,2))</f>
        <v>0.5</v>
      </c>
      <c r="AG84" s="24">
        <v>0</v>
      </c>
      <c r="AH84" s="35">
        <f>ROUND(AD84+AE84+AF84+AG84+1E-9,2)</f>
        <v>1.35</v>
      </c>
    </row>
    <row r="85" spans="1:34" x14ac:dyDescent="0.25">
      <c r="A85" s="13" t="s">
        <v>114</v>
      </c>
      <c r="B85" s="23">
        <v>1</v>
      </c>
      <c r="C85" s="18">
        <f>IF(ROUND(D85/12,0)&gt;10,CHOOSE(B85,1,5,10,ROUND(D85/12,0)),CHOOSE(B85,1,3,5,ROUND(D85/12,0)))</f>
        <v>1</v>
      </c>
      <c r="D85" s="23">
        <v>240</v>
      </c>
      <c r="E85" s="18">
        <f>C85*12</f>
        <v>12</v>
      </c>
      <c r="F85" s="17">
        <f>INDEX('Fee Switch-Off'!$F$5:$F$30,MATCH($A85,'Fee Switch-Off'!$A$5:$A$30,0))</f>
        <v>900</v>
      </c>
      <c r="G85" s="32">
        <v>9.5</v>
      </c>
      <c r="H85" s="24">
        <f>IF(ISNUMBER(SEARCH("TFI",INDEX('Fee Switch-Off'!$C$5:$C$30,MATCH($A85,'Fee Switch-Off'!$A$5:$A$30,0)))),Assumptions!$B$8,Assumptions!$B$7)</f>
        <v>0.85</v>
      </c>
      <c r="I85" s="16">
        <f>INDEX('Quote Summary'!$E$5:$E$30,MATCH($A85,'Quote Summary'!$A$5:$A$30,0))</f>
        <v>0</v>
      </c>
      <c r="J85" s="24">
        <f>Assumptions!$B$9</f>
        <v>0.35</v>
      </c>
      <c r="K85" s="16">
        <f>Assumptions!$B$10</f>
        <v>1.725</v>
      </c>
      <c r="L85" s="24">
        <f>Assumptions!$B$11</f>
        <v>0</v>
      </c>
      <c r="M85" s="33">
        <f>(G85-(H85+J85+I85+L85))/100</f>
        <v>0.083</v>
      </c>
      <c r="N85" s="17">
        <f>F85*(1-(K85)/100)*(((1+M85)^(E85/12)-1)/((1+M85)^(1/12)-1))*(1+M85)^(1/12)</f>
        <v>11085.062074001642</v>
      </c>
      <c r="O85" s="33">
        <f>(1+RATE(E85,-F85,0,N85,1))^12-1</f>
        <v>0.04908793265047051</v>
      </c>
      <c r="P85" s="34">
        <f>(G85/100-O85)*100</f>
        <v>4.591206734952949</v>
      </c>
      <c r="Q85" s="33">
        <f>(G85-(H85))/100</f>
        <v>0.0865</v>
      </c>
      <c r="R85" s="17">
        <f>F85*(1-(0)/100)*(((1+Q85)^(E85/12)-1)/((1+Q85)^(1/12)-1))*(1+Q85)^(1/12)</f>
        <v>11299.612037389683</v>
      </c>
      <c r="S85" s="33">
        <f>(1+RATE(E85,-F85,0,R85,1))^12-1</f>
        <v>0.08650000000000779</v>
      </c>
      <c r="T85" s="34">
        <f>(G85/100-S85)*100</f>
        <v>0.8499999999992208</v>
      </c>
      <c r="U85" s="33">
        <f>(G85-(I85))/100</f>
        <v>0.095</v>
      </c>
      <c r="V85" s="17">
        <f>F85*(1-(0)/100)*(((1+U85)^(E85/12)-1)/((1+U85)^(1/12)-1))*(1+U85)^(1/12)</f>
        <v>11348.045452249806</v>
      </c>
      <c r="W85" s="33">
        <f>(1+RATE(E85,-F85,0,V85,1))^12-1</f>
        <v>0.09499999999999909</v>
      </c>
      <c r="X85" s="34">
        <f>(G85/100-W85)*100</f>
        <v>9.159339953157541e-14</v>
      </c>
      <c r="Y85" s="33">
        <f>(G85-(J85))/100</f>
        <v>0.0915</v>
      </c>
      <c r="Z85" s="17">
        <f>F85*(1-(K85)/100)*(((1+Y85)^(E85/12)-1)/((1+Y85)^(1/12)-1))*(1+Y85)^(1/12)</f>
        <v>11132.706008010058</v>
      </c>
      <c r="AA85" s="33">
        <f>(1+RATE(E85,-F85,0,Z85,1))^12-1</f>
        <v>0.05736160024231984</v>
      </c>
      <c r="AB85" s="34">
        <f>(G85/100-AA85)*100</f>
        <v>3.7638399757680157</v>
      </c>
      <c r="AC85" s="34">
        <f>T85+X85+AB85</f>
        <v>4.613839975767328</v>
      </c>
      <c r="AD85" s="24">
        <f>IF(AC85=0,0,ROUND(T85*P85/AC85+1E-9,2))</f>
        <v>0.85</v>
      </c>
      <c r="AE85" s="24">
        <f>IF(AC85=0,0,ROUND(X85*P85/AC85+1E-9,2))</f>
        <v>0</v>
      </c>
      <c r="AF85" s="24">
        <f>IF(AC85=0,0,ROUND(AB85*P85/AC85+1E-9,2))</f>
        <v>3.75</v>
      </c>
      <c r="AG85" s="24">
        <v>0</v>
      </c>
      <c r="AH85" s="35">
        <f>ROUND(AD85+AE85+AF85+AG85+1E-9,2)</f>
        <v>4.6</v>
      </c>
    </row>
    <row r="86" spans="1:34" x14ac:dyDescent="0.25">
      <c r="A86" s="13" t="s">
        <v>114</v>
      </c>
      <c r="B86" s="23">
        <v>2</v>
      </c>
      <c r="C86" s="18">
        <f>IF(ROUND(D86/12,0)&gt;10,CHOOSE(B86,1,5,10,ROUND(D86/12,0)),CHOOSE(B86,1,3,5,ROUND(D86/12,0)))</f>
        <v>5</v>
      </c>
      <c r="D86" s="23">
        <v>240</v>
      </c>
      <c r="E86" s="18">
        <f>C86*12</f>
        <v>60</v>
      </c>
      <c r="F86" s="17">
        <f>INDEX('Fee Switch-Off'!$F$5:$F$30,MATCH($A86,'Fee Switch-Off'!$A$5:$A$30,0))</f>
        <v>900</v>
      </c>
      <c r="G86" s="32">
        <v>9.5</v>
      </c>
      <c r="H86" s="24">
        <f>IF(ISNUMBER(SEARCH("TFI",INDEX('Fee Switch-Off'!$C$5:$C$30,MATCH($A86,'Fee Switch-Off'!$A$5:$A$30,0)))),Assumptions!$B$8,Assumptions!$B$7)</f>
        <v>0.85</v>
      </c>
      <c r="I86" s="16">
        <f>INDEX('Quote Summary'!$E$5:$E$30,MATCH($A86,'Quote Summary'!$A$5:$A$30,0))</f>
        <v>0</v>
      </c>
      <c r="J86" s="24">
        <f>Assumptions!$B$9</f>
        <v>0.35</v>
      </c>
      <c r="K86" s="16">
        <f>Assumptions!$B$10</f>
        <v>1.725</v>
      </c>
      <c r="L86" s="24">
        <f>Assumptions!$B$11</f>
        <v>0</v>
      </c>
      <c r="M86" s="33">
        <f>(G86-(H86+J86+I86+L86))/100</f>
        <v>0.083</v>
      </c>
      <c r="N86" s="17">
        <f>F86*(1-(K86)/100)*(((1+M86)^(E86/12)-1)/((1+M86)^(1/12)-1))*(1+M86)^(1/12)</f>
        <v>65421.779368082134</v>
      </c>
      <c r="O86" s="33">
        <f>(1+RATE(E86,-F86,0,N86,1))^12-1</f>
        <v>0.07604453839630732</v>
      </c>
      <c r="P86" s="34">
        <f>(G86/100-O86)*100</f>
        <v>1.8955461603692685</v>
      </c>
      <c r="Q86" s="33">
        <f>(G86-(H86))/100</f>
        <v>0.0865</v>
      </c>
      <c r="R86" s="17">
        <f>F86*(1-(0)/100)*(((1+Q86)^(E86/12)-1)/((1+Q86)^(1/12)-1))*(1+Q86)^(1/12)</f>
        <v>67154.88879001053</v>
      </c>
      <c r="S86" s="33">
        <f>(1+RATE(E86,-F86,0,R86,1))^12-1</f>
        <v>0.08649999999999625</v>
      </c>
      <c r="T86" s="34">
        <f>(G86/100-S86)*100</f>
        <v>0.8500000000003755</v>
      </c>
      <c r="U86" s="33">
        <f>(G86-(I86))/100</f>
        <v>0.095</v>
      </c>
      <c r="V86" s="17">
        <f>F86*(1-(0)/100)*(((1+U86)^(E86/12)-1)/((1+U86)^(1/12)-1))*(1+U86)^(1/12)</f>
        <v>68594.60350069441</v>
      </c>
      <c r="W86" s="33">
        <f>(1+RATE(E86,-F86,0,V86,1))^12-1</f>
        <v>0.09499999999999909</v>
      </c>
      <c r="X86" s="34">
        <f>(G86/100-W86)*100</f>
        <v>9.159339953157541e-14</v>
      </c>
      <c r="Y86" s="33">
        <f>(G86-(J86))/100</f>
        <v>0.0915</v>
      </c>
      <c r="Z86" s="17">
        <f>F86*(1-(K86)/100)*(((1+Y86)^(E86/12)-1)/((1+Y86)^(1/12)-1))*(1+Y86)^(1/12)</f>
        <v>66825.43601090439</v>
      </c>
      <c r="AA86" s="33">
        <f>(1+RATE(E86,-F86,0,Z86,1))^12-1</f>
        <v>0.08453159209247052</v>
      </c>
      <c r="AB86" s="34">
        <f>(G86/100-AA86)*100</f>
        <v>1.046840790752948</v>
      </c>
      <c r="AC86" s="34">
        <f>T86+X86+AB86</f>
        <v>1.896840790753415</v>
      </c>
      <c r="AD86" s="24">
        <f>IF(AC86=0,0,ROUND(T86*P86/AC86+1E-9,2))</f>
        <v>0.85</v>
      </c>
      <c r="AE86" s="24">
        <f>IF(AC86=0,0,ROUND(X86*P86/AC86+1E-9,2))</f>
        <v>0</v>
      </c>
      <c r="AF86" s="24">
        <f>IF(AC86=0,0,ROUND(AB86*P86/AC86+1E-9,2))</f>
        <v>1.05</v>
      </c>
      <c r="AG86" s="24">
        <v>0</v>
      </c>
      <c r="AH86" s="35">
        <f>ROUND(AD86+AE86+AF86+AG86+1E-9,2)</f>
        <v>1.9</v>
      </c>
    </row>
    <row r="87" spans="1:34" x14ac:dyDescent="0.25">
      <c r="A87" s="13" t="s">
        <v>114</v>
      </c>
      <c r="B87" s="23">
        <v>3</v>
      </c>
      <c r="C87" s="18">
        <f>IF(ROUND(D87/12,0)&gt;10,CHOOSE(B87,1,5,10,ROUND(D87/12,0)),CHOOSE(B87,1,3,5,ROUND(D87/12,0)))</f>
        <v>10</v>
      </c>
      <c r="D87" s="23">
        <v>240</v>
      </c>
      <c r="E87" s="18">
        <f>C87*12</f>
        <v>120</v>
      </c>
      <c r="F87" s="17">
        <f>INDEX('Fee Switch-Off'!$F$5:$F$30,MATCH($A87,'Fee Switch-Off'!$A$5:$A$30,0))</f>
        <v>900</v>
      </c>
      <c r="G87" s="32">
        <v>9.5</v>
      </c>
      <c r="H87" s="24">
        <f>IF(ISNUMBER(SEARCH("TFI",INDEX('Fee Switch-Off'!$C$5:$C$30,MATCH($A87,'Fee Switch-Off'!$A$5:$A$30,0)))),Assumptions!$B$8,Assumptions!$B$7)</f>
        <v>0.85</v>
      </c>
      <c r="I87" s="16">
        <f>INDEX('Quote Summary'!$E$5:$E$30,MATCH($A87,'Quote Summary'!$A$5:$A$30,0))</f>
        <v>0</v>
      </c>
      <c r="J87" s="24">
        <f>Assumptions!$B$9</f>
        <v>0.35</v>
      </c>
      <c r="K87" s="16">
        <f>Assumptions!$B$10</f>
        <v>1.725</v>
      </c>
      <c r="L87" s="24">
        <f>Assumptions!$B$11</f>
        <v>0</v>
      </c>
      <c r="M87" s="33">
        <f>(G87-(H87+J87+I87+L87))/100</f>
        <v>0.083</v>
      </c>
      <c r="N87" s="17">
        <f>F87*(1-(K87)/100)*(((1+M87)^(E87/12)-1)/((1+M87)^(1/12)-1))*(1+M87)^(1/12)</f>
        <v>162890.35852225684</v>
      </c>
      <c r="O87" s="33">
        <f>(1+RATE(E87,-F87,0,N87,1))^12-1</f>
        <v>0.07969128116254032</v>
      </c>
      <c r="P87" s="34">
        <f>(G87/100-O87)*100</f>
        <v>1.5308718837459683</v>
      </c>
      <c r="Q87" s="33">
        <f>(G87-(H87))/100</f>
        <v>0.0865</v>
      </c>
      <c r="R87" s="17">
        <f>F87*(1-(0)/100)*(((1+Q87)^(E87/12)-1)/((1+Q87)^(1/12)-1))*(1+Q87)^(1/12)</f>
        <v>168832.72313387552</v>
      </c>
      <c r="S87" s="33">
        <f>(1+RATE(E87,-F87,0,R87,1))^12-1</f>
        <v>0.08649999999999625</v>
      </c>
      <c r="T87" s="34">
        <f>(G87/100-S87)*100</f>
        <v>0.8500000000003755</v>
      </c>
      <c r="U87" s="33">
        <f>(G87-(I87))/100</f>
        <v>0.095</v>
      </c>
      <c r="V87" s="17">
        <f>F87*(1-(0)/100)*(((1+U87)^(E87/12)-1)/((1+U87)^(1/12)-1))*(1+U87)^(1/12)</f>
        <v>176578.8857505198</v>
      </c>
      <c r="W87" s="33">
        <f>(1+RATE(E87,-F87,0,V87,1))^12-1</f>
        <v>0.09499999999999909</v>
      </c>
      <c r="X87" s="34">
        <f>(G87/100-W87)*100</f>
        <v>9.159339953157541e-14</v>
      </c>
      <c r="Y87" s="33">
        <f>(G87-(J87))/100</f>
        <v>0.0915</v>
      </c>
      <c r="Z87" s="17">
        <f>F87*(1-(K87)/100)*(((1+Y87)^(E87/12)-1)/((1+Y87)^(1/12)-1))*(1+Y87)^(1/12)</f>
        <v>170354.07417924903</v>
      </c>
      <c r="AA87" s="33">
        <f>(1+RATE(E87,-F87,0,Z87,1))^12-1</f>
        <v>0.0882018749339688</v>
      </c>
      <c r="AB87" s="34">
        <f>(G87/100-AA87)*100</f>
        <v>0.6798125066031196</v>
      </c>
      <c r="AC87" s="34">
        <f>T87+X87+AB87</f>
        <v>1.5298125066035868</v>
      </c>
      <c r="AD87" s="24">
        <f>IF(AC87=0,0,ROUND(T87*P87/AC87+1E-9,2))</f>
        <v>0.85</v>
      </c>
      <c r="AE87" s="24">
        <f>IF(AC87=0,0,ROUND(X87*P87/AC87+1E-9,2))</f>
        <v>0</v>
      </c>
      <c r="AF87" s="24">
        <f>IF(AC87=0,0,ROUND(AB87*P87/AC87+1E-9,2))</f>
        <v>0.68</v>
      </c>
      <c r="AG87" s="24">
        <v>0</v>
      </c>
      <c r="AH87" s="35">
        <f>ROUND(AD87+AE87+AF87+AG87+1E-9,2)</f>
        <v>1.53</v>
      </c>
    </row>
    <row r="88" spans="1:34" x14ac:dyDescent="0.25">
      <c r="A88" s="13" t="s">
        <v>114</v>
      </c>
      <c r="B88" s="23">
        <v>4</v>
      </c>
      <c r="C88" s="18">
        <f>IF(ROUND(D88/12,0)&gt;10,CHOOSE(B88,1,5,10,ROUND(D88/12,0)),CHOOSE(B88,1,3,5,ROUND(D88/12,0)))</f>
        <v>20</v>
      </c>
      <c r="D88" s="23">
        <v>240</v>
      </c>
      <c r="E88" s="18">
        <f>C88*12</f>
        <v>240</v>
      </c>
      <c r="F88" s="17">
        <f>INDEX('Fee Switch-Off'!$F$5:$F$30,MATCH($A88,'Fee Switch-Off'!$A$5:$A$30,0))</f>
        <v>900</v>
      </c>
      <c r="G88" s="32">
        <v>9.5</v>
      </c>
      <c r="H88" s="24">
        <f>IF(ISNUMBER(SEARCH("TFI",INDEX('Fee Switch-Off'!$C$5:$C$30,MATCH($A88,'Fee Switch-Off'!$A$5:$A$30,0)))),Assumptions!$B$8,Assumptions!$B$7)</f>
        <v>0.85</v>
      </c>
      <c r="I88" s="16">
        <f>INDEX('Quote Summary'!$E$5:$E$30,MATCH($A88,'Quote Summary'!$A$5:$A$30,0))</f>
        <v>0</v>
      </c>
      <c r="J88" s="24">
        <f>Assumptions!$B$9</f>
        <v>0.35</v>
      </c>
      <c r="K88" s="16">
        <f>Assumptions!$B$10</f>
        <v>1.725</v>
      </c>
      <c r="L88" s="24">
        <f>Assumptions!$B$11</f>
        <v>0</v>
      </c>
      <c r="M88" s="33">
        <f>(G88-(H88+J88+I88+L88))/100</f>
        <v>0.083</v>
      </c>
      <c r="N88" s="17">
        <f>F88*(1-(K88)/100)*(((1+M88)^(E88/12)-1)/((1+M88)^(1/12)-1))*(1+M88)^(1/12)</f>
        <v>524449.9986378343</v>
      </c>
      <c r="O88" s="33">
        <f>(1+RATE(E88,-F88,0,N88,1))^12-1</f>
        <v>0.08150218340615423</v>
      </c>
      <c r="P88" s="34">
        <f>(G88/100-O88)*100</f>
        <v>1.3497816593845773</v>
      </c>
      <c r="Q88" s="33">
        <f>(G88-(H88))/100</f>
        <v>0.0865</v>
      </c>
      <c r="R88" s="17">
        <f>F88*(1-(0)/100)*(((1+Q88)^(E88/12)-1)/((1+Q88)^(1/12)-1))*(1+Q88)^(1/12)</f>
        <v>555871.0128403489</v>
      </c>
      <c r="S88" s="33">
        <f>(1+RATE(E88,-F88,0,R88,1))^12-1</f>
        <v>0.08649999999999625</v>
      </c>
      <c r="T88" s="34">
        <f>(G88/100-S88)*100</f>
        <v>0.8500000000003755</v>
      </c>
      <c r="U88" s="33">
        <f>(G88-(I88))/100</f>
        <v>0.095</v>
      </c>
      <c r="V88" s="17">
        <f>F88*(1-(0)/100)*(((1+U88)^(E88/12)-1)/((1+U88)^(1/12)-1))*(1+U88)^(1/12)</f>
        <v>614181.5563712134</v>
      </c>
      <c r="W88" s="33">
        <f>(1+RATE(E88,-F88,0,V88,1))^12-1</f>
        <v>0.09499999999999909</v>
      </c>
      <c r="X88" s="34">
        <f>(G88/100-W88)*100</f>
        <v>9.159339953157541e-14</v>
      </c>
      <c r="Y88" s="33">
        <f>(G88-(J88))/100</f>
        <v>0.0915</v>
      </c>
      <c r="Z88" s="17">
        <f>F88*(1-(K88)/100)*(((1+Y88)^(E88/12)-1)/((1+Y88)^(1/12)-1))*(1+Y88)^(1/12)</f>
        <v>579228.4790872401</v>
      </c>
      <c r="AA88" s="33">
        <f>(1+RATE(E88,-F88,0,Z88,1))^12-1</f>
        <v>0.09001737157427092</v>
      </c>
      <c r="AB88" s="34">
        <f>(G88/100-AA88)*100</f>
        <v>0.498262842572908</v>
      </c>
      <c r="AC88" s="34">
        <f>T88+X88+AB88</f>
        <v>1.3482628425733751</v>
      </c>
      <c r="AD88" s="24">
        <f>IF(AC88=0,0,ROUND(T88*P88/AC88+1E-9,2))</f>
        <v>0.85</v>
      </c>
      <c r="AE88" s="24">
        <f>IF(AC88=0,0,ROUND(X88*P88/AC88+1E-9,2))</f>
        <v>0</v>
      </c>
      <c r="AF88" s="24">
        <f>IF(AC88=0,0,ROUND(AB88*P88/AC88+1E-9,2))</f>
        <v>0.5</v>
      </c>
      <c r="AG88" s="24">
        <v>0</v>
      </c>
      <c r="AH88" s="35">
        <f>ROUND(AD88+AE88+AF88+AG88+1E-9,2)</f>
        <v>1.35</v>
      </c>
    </row>
    <row r="89" spans="1:34" x14ac:dyDescent="0.25">
      <c r="A89" s="13" t="s">
        <v>117</v>
      </c>
      <c r="B89" s="23">
        <v>1</v>
      </c>
      <c r="C89" s="18">
        <f>IF(ROUND(D89/12,0)&gt;10,CHOOSE(B89,1,5,10,ROUND(D89/12,0)),CHOOSE(B89,1,3,5,ROUND(D89/12,0)))</f>
        <v>1</v>
      </c>
      <c r="D89" s="23">
        <v>240</v>
      </c>
      <c r="E89" s="18">
        <f>C89*12</f>
        <v>12</v>
      </c>
      <c r="F89" s="17">
        <f>INDEX('Fee Switch-Off'!$F$5:$F$30,MATCH($A89,'Fee Switch-Off'!$A$5:$A$30,0))</f>
        <v>2750</v>
      </c>
      <c r="G89" s="32">
        <v>9.95</v>
      </c>
      <c r="H89" s="24">
        <f>IF(ISNUMBER(SEARCH("TFI",INDEX('Fee Switch-Off'!$C$5:$C$30,MATCH($A89,'Fee Switch-Off'!$A$5:$A$30,0)))),Assumptions!$B$8,Assumptions!$B$7)</f>
        <v>0.7</v>
      </c>
      <c r="I89" s="16">
        <f>INDEX('Quote Summary'!$E$5:$E$30,MATCH($A89,'Quote Summary'!$A$5:$A$30,0))</f>
        <v>0</v>
      </c>
      <c r="J89" s="24">
        <f>Assumptions!$B$9</f>
        <v>0.35</v>
      </c>
      <c r="K89" s="16">
        <f>Assumptions!$B$10</f>
        <v>1.725</v>
      </c>
      <c r="L89" s="24">
        <f>Assumptions!$B$11</f>
        <v>0</v>
      </c>
      <c r="M89" s="33">
        <f>(G89-(H89+J89+I89+L89))/100</f>
        <v>0.089</v>
      </c>
      <c r="N89" s="17">
        <f>F89*(1-(K89)/100)*(((1+M89)^(E89/12)-1)/((1+M89)^(1/12)-1))*(1+M89)^(1/12)</f>
        <v>33973.81991757415</v>
      </c>
      <c r="O89" s="33">
        <f>(1+RATE(E89,-F89,0,N89,1))^12-1</f>
        <v>0.05492814626464271</v>
      </c>
      <c r="P89" s="34">
        <f>(G89/100-O89)*100</f>
        <v>4.4571853735357285</v>
      </c>
      <c r="Q89" s="33">
        <f>(G89-(H89))/100</f>
        <v>0.0925</v>
      </c>
      <c r="R89" s="17">
        <f>F89*(1-(0)/100)*(((1+Q89)^(E89/12)-1)/((1+Q89)^(1/12)-1))*(1+Q89)^(1/12)</f>
        <v>34631.09250179455</v>
      </c>
      <c r="S89" s="33">
        <f>(1+RATE(E89,-F89,0,R89,1))^12-1</f>
        <v>0.09250000000000314</v>
      </c>
      <c r="T89" s="34">
        <f>(G89/100-S89)*100</f>
        <v>0.6999999999996855</v>
      </c>
      <c r="U89" s="33">
        <f>(G89-(I89))/100</f>
        <v>0.09949999999999999</v>
      </c>
      <c r="V89" s="17">
        <f>F89*(1-(0)/100)*(((1+U89)^(E89/12)-1)/((1+U89)^(1/12)-1))*(1+U89)^(1/12)</f>
        <v>34752.7917884585</v>
      </c>
      <c r="W89" s="33">
        <f>(1+RATE(E89,-F89,0,V89,1))^12-1</f>
        <v>0.0994999999999977</v>
      </c>
      <c r="X89" s="34">
        <f>(G89/100-W89)*100</f>
        <v>2.2898349882893854e-13</v>
      </c>
      <c r="Y89" s="33">
        <f>(G89-(J89))/100</f>
        <v>0.09599999999999999</v>
      </c>
      <c r="Z89" s="17">
        <f>F89*(1-(K89)/100)*(((1+Y89)^(E89/12)-1)/((1+Y89)^(1/12)-1))*(1+Y89)^(1/12)</f>
        <v>34093.53480203125</v>
      </c>
      <c r="AA89" s="33">
        <f>(1+RATE(E89,-F89,0,Z89,1))^12-1</f>
        <v>0.06174186404405946</v>
      </c>
      <c r="AB89" s="34">
        <f>(G89/100-AA89)*100</f>
        <v>3.7758135955940535</v>
      </c>
      <c r="AC89" s="34">
        <f>T89+X89+AB89</f>
        <v>4.4758135955939675</v>
      </c>
      <c r="AD89" s="24">
        <f>IF(AC89=0,0,ROUND(T89*P89/AC89+1E-9,2))</f>
        <v>0.7</v>
      </c>
      <c r="AE89" s="24">
        <f>IF(AC89=0,0,ROUND(X89*P89/AC89+1E-9,2))</f>
        <v>0</v>
      </c>
      <c r="AF89" s="24">
        <f>IF(AC89=0,0,ROUND(AB89*P89/AC89+1E-9,2))</f>
        <v>3.76</v>
      </c>
      <c r="AG89" s="24">
        <v>0</v>
      </c>
      <c r="AH89" s="35">
        <f>ROUND(AD89+AE89+AF89+AG89+1E-9,2)</f>
        <v>4.46</v>
      </c>
    </row>
    <row r="90" spans="1:34" x14ac:dyDescent="0.25">
      <c r="A90" s="13" t="s">
        <v>117</v>
      </c>
      <c r="B90" s="23">
        <v>2</v>
      </c>
      <c r="C90" s="18">
        <f>IF(ROUND(D90/12,0)&gt;10,CHOOSE(B90,1,5,10,ROUND(D90/12,0)),CHOOSE(B90,1,3,5,ROUND(D90/12,0)))</f>
        <v>5</v>
      </c>
      <c r="D90" s="23">
        <v>240</v>
      </c>
      <c r="E90" s="18">
        <f>C90*12</f>
        <v>60</v>
      </c>
      <c r="F90" s="17">
        <f>INDEX('Fee Switch-Off'!$F$5:$F$30,MATCH($A90,'Fee Switch-Off'!$A$5:$A$30,0))</f>
        <v>2750</v>
      </c>
      <c r="G90" s="32">
        <v>9.95</v>
      </c>
      <c r="H90" s="24">
        <f>IF(ISNUMBER(SEARCH("TFI",INDEX('Fee Switch-Off'!$C$5:$C$30,MATCH($A90,'Fee Switch-Off'!$A$5:$A$30,0)))),Assumptions!$B$8,Assumptions!$B$7)</f>
        <v>0.7</v>
      </c>
      <c r="I90" s="16">
        <f>INDEX('Quote Summary'!$E$5:$E$30,MATCH($A90,'Quote Summary'!$A$5:$A$30,0))</f>
        <v>0</v>
      </c>
      <c r="J90" s="24">
        <f>Assumptions!$B$9</f>
        <v>0.35</v>
      </c>
      <c r="K90" s="16">
        <f>Assumptions!$B$10</f>
        <v>1.725</v>
      </c>
      <c r="L90" s="24">
        <f>Assumptions!$B$11</f>
        <v>0</v>
      </c>
      <c r="M90" s="33">
        <f>(G90-(H90+J90+I90+L90))/100</f>
        <v>0.089</v>
      </c>
      <c r="N90" s="17">
        <f>F90*(1-(K90)/100)*(((1+M90)^(E90/12)-1)/((1+M90)^(1/12)-1))*(1+M90)^(1/12)</f>
        <v>202918.74963304706</v>
      </c>
      <c r="O90" s="33">
        <f>(1+RATE(E90,-F90,0,N90,1))^12-1</f>
        <v>0.08203542435820355</v>
      </c>
      <c r="P90" s="34">
        <f>(G90/100-O90)*100</f>
        <v>1.7464575641796445</v>
      </c>
      <c r="Q90" s="33">
        <f>(G90-(H90))/100</f>
        <v>0.0925</v>
      </c>
      <c r="R90" s="17">
        <f>F90*(1-(0)/100)*(((1+Q90)^(E90/12)-1)/((1+Q90)^(1/12)-1))*(1+Q90)^(1/12)</f>
        <v>208291.9256792216</v>
      </c>
      <c r="S90" s="33">
        <f>(1+RATE(E90,-F90,0,R90,1))^12-1</f>
        <v>0.09250000000000314</v>
      </c>
      <c r="T90" s="34">
        <f>(G90/100-S90)*100</f>
        <v>0.6999999999996855</v>
      </c>
      <c r="U90" s="33">
        <f>(G90-(I90))/100</f>
        <v>0.09949999999999999</v>
      </c>
      <c r="V90" s="17">
        <f>F90*(1-(0)/100)*(((1+U90)^(E90/12)-1)/((1+U90)^(1/12)-1))*(1+U90)^(1/12)</f>
        <v>211958.1768441323</v>
      </c>
      <c r="W90" s="33">
        <f>(1+RATE(E90,-F90,0,V90,1))^12-1</f>
        <v>0.0994999999999977</v>
      </c>
      <c r="X90" s="34">
        <f>(G90/100-W90)*100</f>
        <v>2.2898349882893854e-13</v>
      </c>
      <c r="Y90" s="33">
        <f>(G90-(J90))/100</f>
        <v>0.09599999999999999</v>
      </c>
      <c r="Z90" s="17">
        <f>F90*(1-(K90)/100)*(((1+Y90)^(E90/12)-1)/((1+Y90)^(1/12)-1))*(1+Y90)^(1/12)</f>
        <v>206493.24219814455</v>
      </c>
      <c r="AA90" s="33">
        <f>(1+RATE(E90,-F90,0,Z90,1))^12-1</f>
        <v>0.08902464278351485</v>
      </c>
      <c r="AB90" s="34">
        <f>(G90/100-AA90)*100</f>
        <v>1.047535721648514</v>
      </c>
      <c r="AC90" s="34">
        <f>T90+X90+AB90</f>
        <v>1.7475357216484284</v>
      </c>
      <c r="AD90" s="24">
        <f>IF(AC90=0,0,ROUND(T90*P90/AC90+1E-9,2))</f>
        <v>0.7</v>
      </c>
      <c r="AE90" s="24">
        <f>IF(AC90=0,0,ROUND(X90*P90/AC90+1E-9,2))</f>
        <v>0</v>
      </c>
      <c r="AF90" s="24">
        <f>IF(AC90=0,0,ROUND(AB90*P90/AC90+1E-9,2))</f>
        <v>1.05</v>
      </c>
      <c r="AG90" s="24">
        <v>0</v>
      </c>
      <c r="AH90" s="35">
        <f>ROUND(AD90+AE90+AF90+AG90+1E-9,2)</f>
        <v>1.75</v>
      </c>
    </row>
    <row r="91" spans="1:34" x14ac:dyDescent="0.25">
      <c r="A91" s="13" t="s">
        <v>117</v>
      </c>
      <c r="B91" s="23">
        <v>3</v>
      </c>
      <c r="C91" s="18">
        <f>IF(ROUND(D91/12,0)&gt;10,CHOOSE(B91,1,5,10,ROUND(D91/12,0)),CHOOSE(B91,1,3,5,ROUND(D91/12,0)))</f>
        <v>10</v>
      </c>
      <c r="D91" s="23">
        <v>240</v>
      </c>
      <c r="E91" s="18">
        <f>C91*12</f>
        <v>120</v>
      </c>
      <c r="F91" s="17">
        <f>INDEX('Fee Switch-Off'!$F$5:$F$30,MATCH($A91,'Fee Switch-Off'!$A$5:$A$30,0))</f>
        <v>2750</v>
      </c>
      <c r="G91" s="32">
        <v>9.95</v>
      </c>
      <c r="H91" s="24">
        <f>IF(ISNUMBER(SEARCH("TFI",INDEX('Fee Switch-Off'!$C$5:$C$30,MATCH($A91,'Fee Switch-Off'!$A$5:$A$30,0)))),Assumptions!$B$8,Assumptions!$B$7)</f>
        <v>0.7</v>
      </c>
      <c r="I91" s="16">
        <f>INDEX('Quote Summary'!$E$5:$E$30,MATCH($A91,'Quote Summary'!$A$5:$A$30,0))</f>
        <v>0</v>
      </c>
      <c r="J91" s="24">
        <f>Assumptions!$B$9</f>
        <v>0.35</v>
      </c>
      <c r="K91" s="16">
        <f>Assumptions!$B$10</f>
        <v>1.725</v>
      </c>
      <c r="L91" s="24">
        <f>Assumptions!$B$11</f>
        <v>0</v>
      </c>
      <c r="M91" s="33">
        <f>(G91-(H91+J91+I91+L91))/100</f>
        <v>0.089</v>
      </c>
      <c r="N91" s="17">
        <f>F91*(1-(K91)/100)*(((1+M91)^(E91/12)-1)/((1+M91)^(1/12)-1))*(1+M91)^(1/12)</f>
        <v>513704.8422871607</v>
      </c>
      <c r="O91" s="33">
        <f>(1+RATE(E91,-F91,0,N91,1))^12-1</f>
        <v>0.0856988368592615</v>
      </c>
      <c r="P91" s="34">
        <f>(G91/100-O91)*100</f>
        <v>1.3801163140738495</v>
      </c>
      <c r="Q91" s="33">
        <f>(G91-(H91))/100</f>
        <v>0.0925</v>
      </c>
      <c r="R91" s="17">
        <f>F91*(1-(0)/100)*(((1+Q91)^(E91/12)-1)/((1+Q91)^(1/12)-1))*(1+Q91)^(1/12)</f>
        <v>532467.0330060973</v>
      </c>
      <c r="S91" s="33">
        <f>(1+RATE(E91,-F91,0,R91,1))^12-1</f>
        <v>0.09250000000000314</v>
      </c>
      <c r="T91" s="34">
        <f>(G91/100-S91)*100</f>
        <v>0.6999999999996855</v>
      </c>
      <c r="U91" s="33">
        <f>(G91-(I91))/100</f>
        <v>0.09949999999999999</v>
      </c>
      <c r="V91" s="17">
        <f>F91*(1-(0)/100)*(((1+U91)^(E91/12)-1)/((1+U91)^(1/12)-1))*(1+U91)^(1/12)</f>
        <v>552543.8252869028</v>
      </c>
      <c r="W91" s="33">
        <f>(1+RATE(E91,-F91,0,V91,1))^12-1</f>
        <v>0.0994999999999977</v>
      </c>
      <c r="X91" s="34">
        <f>(G91/100-W91)*100</f>
        <v>2.2898349882893854e-13</v>
      </c>
      <c r="Y91" s="33">
        <f>(G91-(J91))/100</f>
        <v>0.09599999999999999</v>
      </c>
      <c r="Z91" s="17">
        <f>F91*(1-(K91)/100)*(((1+Y91)^(E91/12)-1)/((1+Y91)^(1/12)-1))*(1+Y91)^(1/12)</f>
        <v>533049.953755654</v>
      </c>
      <c r="AA91" s="33">
        <f>(1+RATE(E91,-F91,0,Z91,1))^12-1</f>
        <v>0.09270718244705045</v>
      </c>
      <c r="AB91" s="34">
        <f>(G91/100-AA91)*100</f>
        <v>0.6792817552949539</v>
      </c>
      <c r="AC91" s="34">
        <f>T91+X91+AB91</f>
        <v>1.3792817552948684</v>
      </c>
      <c r="AD91" s="24">
        <f>IF(AC91=0,0,ROUND(T91*P91/AC91+1E-9,2))</f>
        <v>0.7</v>
      </c>
      <c r="AE91" s="24">
        <f>IF(AC91=0,0,ROUND(X91*P91/AC91+1E-9,2))</f>
        <v>0</v>
      </c>
      <c r="AF91" s="24">
        <f>IF(AC91=0,0,ROUND(AB91*P91/AC91+1E-9,2))</f>
        <v>0.68</v>
      </c>
      <c r="AG91" s="24">
        <v>0</v>
      </c>
      <c r="AH91" s="35">
        <f>ROUND(AD91+AE91+AF91+AG91+1E-9,2)</f>
        <v>1.38</v>
      </c>
    </row>
    <row r="92" spans="1:34" x14ac:dyDescent="0.25">
      <c r="A92" s="13" t="s">
        <v>117</v>
      </c>
      <c r="B92" s="23">
        <v>4</v>
      </c>
      <c r="C92" s="18">
        <f>IF(ROUND(D92/12,0)&gt;10,CHOOSE(B92,1,5,10,ROUND(D92/12,0)),CHOOSE(B92,1,3,5,ROUND(D92/12,0)))</f>
        <v>20</v>
      </c>
      <c r="D92" s="23">
        <v>240</v>
      </c>
      <c r="E92" s="18">
        <f>C92*12</f>
        <v>240</v>
      </c>
      <c r="F92" s="17">
        <f>INDEX('Fee Switch-Off'!$F$5:$F$30,MATCH($A92,'Fee Switch-Off'!$A$5:$A$30,0))</f>
        <v>2750</v>
      </c>
      <c r="G92" s="32">
        <v>9.95</v>
      </c>
      <c r="H92" s="24">
        <f>IF(ISNUMBER(SEARCH("TFI",INDEX('Fee Switch-Off'!$C$5:$C$30,MATCH($A92,'Fee Switch-Off'!$A$5:$A$30,0)))),Assumptions!$B$8,Assumptions!$B$7)</f>
        <v>0.7</v>
      </c>
      <c r="I92" s="16">
        <f>INDEX('Quote Summary'!$E$5:$E$30,MATCH($A92,'Quote Summary'!$A$5:$A$30,0))</f>
        <v>0</v>
      </c>
      <c r="J92" s="24">
        <f>Assumptions!$B$9</f>
        <v>0.35</v>
      </c>
      <c r="K92" s="16">
        <f>Assumptions!$B$10</f>
        <v>1.725</v>
      </c>
      <c r="L92" s="24">
        <f>Assumptions!$B$11</f>
        <v>0</v>
      </c>
      <c r="M92" s="33">
        <f>(G92-(H92+J92+I92+L92))/100</f>
        <v>0.089</v>
      </c>
      <c r="N92" s="17">
        <f>F92*(1-(K92)/100)*(((1+M92)^(E92/12)-1)/((1+M92)^(1/12)-1))*(1+M92)^(1/12)</f>
        <v>1718719.853434566</v>
      </c>
      <c r="O92" s="33">
        <f>(1+RATE(E92,-F92,0,N92,1))^12-1</f>
        <v>0.08751304958329231</v>
      </c>
      <c r="P92" s="34">
        <f>(G92/100-O92)*100</f>
        <v>1.1986950416707678</v>
      </c>
      <c r="Q92" s="33">
        <f>(G92-(H92))/100</f>
        <v>0.0925</v>
      </c>
      <c r="R92" s="17">
        <f>F92*(1-(0)/100)*(((1+Q92)^(E92/12)-1)/((1+Q92)^(1/12)-1))*(1+Q92)^(1/12)</f>
        <v>1822221.9154551579</v>
      </c>
      <c r="S92" s="33">
        <f>(1+RATE(E92,-F92,0,R92,1))^12-1</f>
        <v>0.09250000000000314</v>
      </c>
      <c r="T92" s="34">
        <f>(G92/100-S92)*100</f>
        <v>0.6999999999996855</v>
      </c>
      <c r="U92" s="33">
        <f>(G92-(I92))/100</f>
        <v>0.09949999999999999</v>
      </c>
      <c r="V92" s="17">
        <f>F92*(1-(0)/100)*(((1+U92)^(E92/12)-1)/((1+U92)^(1/12)-1))*(1+U92)^(1/12)</f>
        <v>1979199.1674771965</v>
      </c>
      <c r="W92" s="33">
        <f>(1+RATE(E92,-F92,0,V92,1))^12-1</f>
        <v>0.0994999999999977</v>
      </c>
      <c r="X92" s="34">
        <f>(G92/100-W92)*100</f>
        <v>2.2898349882893854e-13</v>
      </c>
      <c r="Y92" s="33">
        <f>(G92-(J92))/100</f>
        <v>0.09599999999999999</v>
      </c>
      <c r="Z92" s="17">
        <f>F92*(1-(K92)/100)*(((1+Y92)^(E92/12)-1)/((1+Y92)^(1/12)-1))*(1+Y92)^(1/12)</f>
        <v>1866182.869441954</v>
      </c>
      <c r="AA92" s="33">
        <f>(1+RATE(E92,-F92,0,Z92,1))^12-1</f>
        <v>0.09452485572026914</v>
      </c>
      <c r="AB92" s="34">
        <f>(G92/100-AA92)*100</f>
        <v>0.49751442797308504</v>
      </c>
      <c r="AC92" s="34">
        <f>T92+X92+AB92</f>
        <v>1.1975144279729995</v>
      </c>
      <c r="AD92" s="24">
        <f>IF(AC92=0,0,ROUND(T92*P92/AC92+1E-9,2))</f>
        <v>0.7</v>
      </c>
      <c r="AE92" s="24">
        <f>IF(AC92=0,0,ROUND(X92*P92/AC92+1E-9,2))</f>
        <v>0</v>
      </c>
      <c r="AF92" s="24">
        <f>IF(AC92=0,0,ROUND(AB92*P92/AC92+1E-9,2))</f>
        <v>0.5</v>
      </c>
      <c r="AG92" s="24">
        <v>0</v>
      </c>
      <c r="AH92" s="35">
        <f>ROUND(AD92+AE92+AF92+AG92+1E-9,2)</f>
        <v>1.2</v>
      </c>
    </row>
    <row r="93" spans="1:34" x14ac:dyDescent="0.25">
      <c r="A93" s="13" t="s">
        <v>119</v>
      </c>
      <c r="B93" s="23">
        <v>1</v>
      </c>
      <c r="C93" s="18">
        <f>IF(ROUND(D93/12,0)&gt;10,CHOOSE(B93,1,5,10,ROUND(D93/12,0)),CHOOSE(B93,1,3,5,ROUND(D93/12,0)))</f>
        <v>1</v>
      </c>
      <c r="D93" s="23">
        <v>240</v>
      </c>
      <c r="E93" s="18">
        <f>C93*12</f>
        <v>12</v>
      </c>
      <c r="F93" s="17">
        <f>INDEX('Fee Switch-Off'!$F$5:$F$30,MATCH($A93,'Fee Switch-Off'!$A$5:$A$30,0))</f>
        <v>3000</v>
      </c>
      <c r="G93" s="32">
        <v>10.4</v>
      </c>
      <c r="H93" s="24">
        <f>IF(ISNUMBER(SEARCH("TFI",INDEX('Fee Switch-Off'!$C$5:$C$30,MATCH($A93,'Fee Switch-Off'!$A$5:$A$30,0)))),Assumptions!$B$8,Assumptions!$B$7)</f>
        <v>0.85</v>
      </c>
      <c r="I93" s="16">
        <f>INDEX('Quote Summary'!$E$5:$E$30,MATCH($A93,'Quote Summary'!$A$5:$A$30,0))</f>
        <v>0</v>
      </c>
      <c r="J93" s="24">
        <f>Assumptions!$B$9</f>
        <v>0.35</v>
      </c>
      <c r="K93" s="16">
        <f>Assumptions!$B$10</f>
        <v>1.725</v>
      </c>
      <c r="L93" s="24">
        <f>Assumptions!$B$11</f>
        <v>0</v>
      </c>
      <c r="M93" s="33">
        <f>(G93-(H93+J93+I93+L93))/100</f>
        <v>0.09200000000000001</v>
      </c>
      <c r="N93" s="17">
        <f>F93*(1-(K93)/100)*(((1+M93)^(E93/12)-1)/((1+M93)^(1/12)-1))*(1+M93)^(1/12)</f>
        <v>37118.350376423135</v>
      </c>
      <c r="O93" s="33">
        <f>(1+RATE(E93,-F93,0,N93,1))^12-1</f>
        <v>0.0578482932626494</v>
      </c>
      <c r="P93" s="34">
        <f>(G93/100-O93)*100</f>
        <v>4.6151706737350615</v>
      </c>
      <c r="Q93" s="33">
        <f>(G93-(H93))/100</f>
        <v>0.0955</v>
      </c>
      <c r="R93" s="17">
        <f>F93*(1-(0)/100)*(((1+Q93)^(E93/12)-1)/((1+Q93)^(1/12)-1))*(1+Q93)^(1/12)</f>
        <v>37836.303176994414</v>
      </c>
      <c r="S93" s="33">
        <f>(1+RATE(E93,-F93,0,R93,1))^12-1</f>
        <v>0.0955000000000068</v>
      </c>
      <c r="T93" s="34">
        <f>(G93/100-S93)*100</f>
        <v>0.8499999999993207</v>
      </c>
      <c r="U93" s="33">
        <f>(G93-(I93))/100</f>
        <v>0.10400000000000001</v>
      </c>
      <c r="V93" s="17">
        <f>F93*(1-(0)/100)*(((1+U93)^(E93/12)-1)/((1+U93)^(1/12)-1))*(1+U93)^(1/12)</f>
        <v>37997.350141118535</v>
      </c>
      <c r="W93" s="33">
        <f>(1+RATE(E93,-F93,0,V93,1))^12-1</f>
        <v>0.10400000000000098</v>
      </c>
      <c r="X93" s="34">
        <f>(G93/100-W93)*100</f>
        <v>-9.71445146547012e-14</v>
      </c>
      <c r="Y93" s="33">
        <f>(G93-(J93))/100</f>
        <v>0.1005</v>
      </c>
      <c r="Z93" s="17">
        <f>F93*(1-(K93)/100)*(((1+Y93)^(E93/12)-1)/((1+Y93)^(1/12)-1))*(1+Y93)^(1/12)</f>
        <v>37276.77072312238</v>
      </c>
      <c r="AA93" s="33">
        <f>(1+RATE(E93,-F93,0,Z93,1))^12-1</f>
        <v>0.06612218752391552</v>
      </c>
      <c r="AB93" s="34">
        <f>(G93/100-AA93)*100</f>
        <v>3.7877812476084487</v>
      </c>
      <c r="AC93" s="34">
        <f>T93+X93+AB93</f>
        <v>4.6377812476076725</v>
      </c>
      <c r="AD93" s="24">
        <f>IF(AC93=0,0,ROUND(T93*P93/AC93+1E-9,2))</f>
        <v>0.85</v>
      </c>
      <c r="AE93" s="24">
        <f>IF(AC93=0,0,ROUND(X93*P93/AC93+1E-9,2))</f>
        <v>0</v>
      </c>
      <c r="AF93" s="24">
        <f>IF(AC93=0,0,ROUND(AB93*P93/AC93+1E-9,2))</f>
        <v>3.77</v>
      </c>
      <c r="AG93" s="24">
        <v>0</v>
      </c>
      <c r="AH93" s="35">
        <f>ROUND(AD93+AE93+AF93+AG93+1E-9,2)</f>
        <v>4.62</v>
      </c>
    </row>
    <row r="94" spans="1:34" x14ac:dyDescent="0.25">
      <c r="A94" s="13" t="s">
        <v>119</v>
      </c>
      <c r="B94" s="23">
        <v>2</v>
      </c>
      <c r="C94" s="18">
        <f>IF(ROUND(D94/12,0)&gt;10,CHOOSE(B94,1,5,10,ROUND(D94/12,0)),CHOOSE(B94,1,3,5,ROUND(D94/12,0)))</f>
        <v>5</v>
      </c>
      <c r="D94" s="23">
        <v>240</v>
      </c>
      <c r="E94" s="18">
        <f>C94*12</f>
        <v>60</v>
      </c>
      <c r="F94" s="17">
        <f>INDEX('Fee Switch-Off'!$F$5:$F$30,MATCH($A94,'Fee Switch-Off'!$A$5:$A$30,0))</f>
        <v>3000</v>
      </c>
      <c r="G94" s="32">
        <v>10.4</v>
      </c>
      <c r="H94" s="24">
        <f>IF(ISNUMBER(SEARCH("TFI",INDEX('Fee Switch-Off'!$C$5:$C$30,MATCH($A94,'Fee Switch-Off'!$A$5:$A$30,0)))),Assumptions!$B$8,Assumptions!$B$7)</f>
        <v>0.85</v>
      </c>
      <c r="I94" s="16">
        <f>INDEX('Quote Summary'!$E$5:$E$30,MATCH($A94,'Quote Summary'!$A$5:$A$30,0))</f>
        <v>0</v>
      </c>
      <c r="J94" s="24">
        <f>Assumptions!$B$9</f>
        <v>0.35</v>
      </c>
      <c r="K94" s="16">
        <f>Assumptions!$B$10</f>
        <v>1.725</v>
      </c>
      <c r="L94" s="24">
        <f>Assumptions!$B$11</f>
        <v>0</v>
      </c>
      <c r="M94" s="33">
        <f>(G94-(H94+J94+I94+L94))/100</f>
        <v>0.09200000000000001</v>
      </c>
      <c r="N94" s="17">
        <f>F94*(1-(K94)/100)*(((1+M94)^(E94/12)-1)/((1+M94)^(1/12)-1))*(1+M94)^(1/12)</f>
        <v>223029.5086068644</v>
      </c>
      <c r="O94" s="33">
        <f>(1+RATE(E94,-F94,0,N94,1))^12-1</f>
        <v>0.08503082319564537</v>
      </c>
      <c r="P94" s="34">
        <f>(G94/100-O94)*100</f>
        <v>1.8969176804354642</v>
      </c>
      <c r="Q94" s="33">
        <f>(G94-(H94))/100</f>
        <v>0.0955</v>
      </c>
      <c r="R94" s="17">
        <f>F94*(1-(0)/100)*(((1+Q94)^(E94/12)-1)/((1+Q94)^(1/12)-1))*(1+Q94)^(1/12)</f>
        <v>228933.872093637</v>
      </c>
      <c r="S94" s="33">
        <f>(1+RATE(E94,-F94,0,R94,1))^12-1</f>
        <v>0.0955000000000068</v>
      </c>
      <c r="T94" s="34">
        <f>(G94/100-S94)*100</f>
        <v>0.8499999999993207</v>
      </c>
      <c r="U94" s="33">
        <f>(G94-(I94))/100</f>
        <v>0.10400000000000001</v>
      </c>
      <c r="V94" s="17">
        <f>F94*(1-(0)/100)*(((1+U94)^(E94/12)-1)/((1+U94)^(1/12)-1))*(1+U94)^(1/12)</f>
        <v>233831.94265249738</v>
      </c>
      <c r="W94" s="33">
        <f>(1+RATE(E94,-F94,0,V94,1))^12-1</f>
        <v>0.10400000000000098</v>
      </c>
      <c r="X94" s="34">
        <f>(G94/100-W94)*100</f>
        <v>-9.71445146547012e-14</v>
      </c>
      <c r="Y94" s="33">
        <f>(G94-(J94))/100</f>
        <v>0.1005</v>
      </c>
      <c r="Z94" s="17">
        <f>F94*(1-(K94)/100)*(((1+Y94)^(E94/12)-1)/((1+Y94)^(1/12)-1))*(1+Y94)^(1/12)</f>
        <v>227805.05163245034</v>
      </c>
      <c r="AA94" s="33">
        <f>(1+RATE(E94,-F94,0,Z94,1))^12-1</f>
        <v>0.09351762792825768</v>
      </c>
      <c r="AB94" s="34">
        <f>(G94/100-AA94)*100</f>
        <v>1.0482372071742323</v>
      </c>
      <c r="AC94" s="34">
        <f>T94+X94+AB94</f>
        <v>1.898237207173456</v>
      </c>
      <c r="AD94" s="24">
        <f>IF(AC94=0,0,ROUND(T94*P94/AC94+1E-9,2))</f>
        <v>0.85</v>
      </c>
      <c r="AE94" s="24">
        <f>IF(AC94=0,0,ROUND(X94*P94/AC94+1E-9,2))</f>
        <v>0</v>
      </c>
      <c r="AF94" s="24">
        <f>IF(AC94=0,0,ROUND(AB94*P94/AC94+1E-9,2))</f>
        <v>1.05</v>
      </c>
      <c r="AG94" s="24">
        <v>0</v>
      </c>
      <c r="AH94" s="35">
        <f>ROUND(AD94+AE94+AF94+AG94+1E-9,2)</f>
        <v>1.9</v>
      </c>
    </row>
    <row r="95" spans="1:34" x14ac:dyDescent="0.25">
      <c r="A95" s="13" t="s">
        <v>119</v>
      </c>
      <c r="B95" s="23">
        <v>3</v>
      </c>
      <c r="C95" s="18">
        <f>IF(ROUND(D95/12,0)&gt;10,CHOOSE(B95,1,5,10,ROUND(D95/12,0)),CHOOSE(B95,1,3,5,ROUND(D95/12,0)))</f>
        <v>10</v>
      </c>
      <c r="D95" s="23">
        <v>240</v>
      </c>
      <c r="E95" s="18">
        <f>C95*12</f>
        <v>120</v>
      </c>
      <c r="F95" s="17">
        <f>INDEX('Fee Switch-Off'!$F$5:$F$30,MATCH($A95,'Fee Switch-Off'!$A$5:$A$30,0))</f>
        <v>3000</v>
      </c>
      <c r="G95" s="32">
        <v>10.4</v>
      </c>
      <c r="H95" s="24">
        <f>IF(ISNUMBER(SEARCH("TFI",INDEX('Fee Switch-Off'!$C$5:$C$30,MATCH($A95,'Fee Switch-Off'!$A$5:$A$30,0)))),Assumptions!$B$8,Assumptions!$B$7)</f>
        <v>0.85</v>
      </c>
      <c r="I95" s="16">
        <f>INDEX('Quote Summary'!$E$5:$E$30,MATCH($A95,'Quote Summary'!$A$5:$A$30,0))</f>
        <v>0</v>
      </c>
      <c r="J95" s="24">
        <f>Assumptions!$B$9</f>
        <v>0.35</v>
      </c>
      <c r="K95" s="16">
        <f>Assumptions!$B$10</f>
        <v>1.725</v>
      </c>
      <c r="L95" s="24">
        <f>Assumptions!$B$11</f>
        <v>0</v>
      </c>
      <c r="M95" s="33">
        <f>(G95-(H95+J95+I95+L95))/100</f>
        <v>0.09200000000000001</v>
      </c>
      <c r="N95" s="17">
        <f>F95*(1-(K95)/100)*(((1+M95)^(E95/12)-1)/((1+M95)^(1/12)-1))*(1+M95)^(1/12)</f>
        <v>569347.871132553</v>
      </c>
      <c r="O95" s="33">
        <f>(1+RATE(E95,-F95,0,N95,1))^12-1</f>
        <v>0.08870247484858296</v>
      </c>
      <c r="P95" s="34">
        <f>(G95/100-O95)*100</f>
        <v>1.529752515141705</v>
      </c>
      <c r="Q95" s="33">
        <f>(G95-(H95))/100</f>
        <v>0.0955</v>
      </c>
      <c r="R95" s="17">
        <f>F95*(1-(0)/100)*(((1+Q95)^(E95/12)-1)/((1+Q95)^(1/12)-1))*(1+Q95)^(1/12)</f>
        <v>590154.0176559493</v>
      </c>
      <c r="S95" s="33">
        <f>(1+RATE(E95,-F95,0,R95,1))^12-1</f>
        <v>0.09550000000000103</v>
      </c>
      <c r="T95" s="34">
        <f>(G95/100-S95)*100</f>
        <v>0.8499999999998981</v>
      </c>
      <c r="U95" s="33">
        <f>(G95-(I95))/100</f>
        <v>0.10400000000000001</v>
      </c>
      <c r="V95" s="17">
        <f>F95*(1-(0)/100)*(((1+U95)^(E95/12)-1)/((1+U95)^(1/12)-1))*(1+U95)^(1/12)</f>
        <v>617317.6698179615</v>
      </c>
      <c r="W95" s="33">
        <f>(1+RATE(E95,-F95,0,V95,1))^12-1</f>
        <v>0.10400000000000098</v>
      </c>
      <c r="X95" s="34">
        <f>(G95/100-W95)*100</f>
        <v>-9.71445146547012e-14</v>
      </c>
      <c r="Y95" s="33">
        <f>(G95-(J95))/100</f>
        <v>0.1005</v>
      </c>
      <c r="Z95" s="17">
        <f>F95*(1-(K95)/100)*(((1+Y95)^(E95/12)-1)/((1+Y95)^(1/12)-1))*(1+Y95)^(1/12)</f>
        <v>595521.9471432066</v>
      </c>
      <c r="AA95" s="33">
        <f>(1+RATE(E95,-F95,0,Z95,1))^12-1</f>
        <v>0.09721228545993998</v>
      </c>
      <c r="AB95" s="34">
        <f>(G95/100-AA95)*100</f>
        <v>0.6787714540060025</v>
      </c>
      <c r="AC95" s="34">
        <f>T95+X95+AB95</f>
        <v>1.5287714540058035</v>
      </c>
      <c r="AD95" s="24">
        <f>IF(AC95=0,0,ROUND(T95*P95/AC95+1E-9,2))</f>
        <v>0.85</v>
      </c>
      <c r="AE95" s="24">
        <f>IF(AC95=0,0,ROUND(X95*P95/AC95+1E-9,2))</f>
        <v>0</v>
      </c>
      <c r="AF95" s="24">
        <f>IF(AC95=0,0,ROUND(AB95*P95/AC95+1E-9,2))</f>
        <v>0.68</v>
      </c>
      <c r="AG95" s="24">
        <v>0</v>
      </c>
      <c r="AH95" s="35">
        <f>ROUND(AD95+AE95+AF95+AG95+1E-9,2)</f>
        <v>1.53</v>
      </c>
    </row>
    <row r="96" spans="1:34" x14ac:dyDescent="0.25">
      <c r="A96" s="13" t="s">
        <v>119</v>
      </c>
      <c r="B96" s="23">
        <v>4</v>
      </c>
      <c r="C96" s="18">
        <f>IF(ROUND(D96/12,0)&gt;10,CHOOSE(B96,1,5,10,ROUND(D96/12,0)),CHOOSE(B96,1,3,5,ROUND(D96/12,0)))</f>
        <v>20</v>
      </c>
      <c r="D96" s="23">
        <v>240</v>
      </c>
      <c r="E96" s="18">
        <f>C96*12</f>
        <v>240</v>
      </c>
      <c r="F96" s="17">
        <f>INDEX('Fee Switch-Off'!$F$5:$F$30,MATCH($A96,'Fee Switch-Off'!$A$5:$A$30,0))</f>
        <v>3000</v>
      </c>
      <c r="G96" s="32">
        <v>10.4</v>
      </c>
      <c r="H96" s="24">
        <f>IF(ISNUMBER(SEARCH("TFI",INDEX('Fee Switch-Off'!$C$5:$C$30,MATCH($A96,'Fee Switch-Off'!$A$5:$A$30,0)))),Assumptions!$B$8,Assumptions!$B$7)</f>
        <v>0.85</v>
      </c>
      <c r="I96" s="16">
        <f>INDEX('Quote Summary'!$E$5:$E$30,MATCH($A96,'Quote Summary'!$A$5:$A$30,0))</f>
        <v>0</v>
      </c>
      <c r="J96" s="24">
        <f>Assumptions!$B$9</f>
        <v>0.35</v>
      </c>
      <c r="K96" s="16">
        <f>Assumptions!$B$10</f>
        <v>1.725</v>
      </c>
      <c r="L96" s="24">
        <f>Assumptions!$B$11</f>
        <v>0</v>
      </c>
      <c r="M96" s="33">
        <f>(G96-(H96+J96+I96+L96))/100</f>
        <v>0.09200000000000001</v>
      </c>
      <c r="N96" s="17">
        <f>F96*(1-(K96)/100)*(((1+M96)^(E96/12)-1)/((1+M96)^(1/12)-1))*(1+M96)^(1/12)</f>
        <v>1942137.8011652827</v>
      </c>
      <c r="O96" s="33">
        <f>(1+RATE(E96,-F96,0,N96,1))^12-1</f>
        <v>0.09051822176907698</v>
      </c>
      <c r="P96" s="34">
        <f>(G96/100-O96)*100</f>
        <v>1.348177823092303</v>
      </c>
      <c r="Q96" s="33">
        <f>(G96-(H96))/100</f>
        <v>0.0955</v>
      </c>
      <c r="R96" s="17">
        <f>F96*(1-(0)/100)*(((1+Q96)^(E96/12)-1)/((1+Q96)^(1/12)-1))*(1+Q96)^(1/12)</f>
        <v>2059381.9860479273</v>
      </c>
      <c r="S96" s="33">
        <f>(1+RATE(E96,-F96,0,R96,1))^12-1</f>
        <v>0.09550000000000103</v>
      </c>
      <c r="T96" s="34">
        <f>(G96/100-S96)*100</f>
        <v>0.8499999999998981</v>
      </c>
      <c r="U96" s="33">
        <f>(G96-(I96))/100</f>
        <v>0.10400000000000001</v>
      </c>
      <c r="V96" s="17">
        <f>F96*(1-(0)/100)*(((1+U96)^(E96/12)-1)/((1+U96)^(1/12)-1))*(1+U96)^(1/12)</f>
        <v>2277666.888458011</v>
      </c>
      <c r="W96" s="33">
        <f>(1+RATE(E96,-F96,0,V96,1))^12-1</f>
        <v>0.10400000000000098</v>
      </c>
      <c r="X96" s="34">
        <f>(G96/100-W96)*100</f>
        <v>-9.71445146547012e-14</v>
      </c>
      <c r="Y96" s="33">
        <f>(G96-(J96))/100</f>
        <v>0.1005</v>
      </c>
      <c r="Z96" s="17">
        <f>F96*(1-(K96)/100)*(((1+Y96)^(E96/12)-1)/((1+Y96)^(1/12)-1))*(1+Y96)^(1/12)</f>
        <v>2147187.9340269463</v>
      </c>
      <c r="AA96" s="33">
        <f>(1+RATE(E96,-F96,0,Z96,1))^12-1</f>
        <v>0.09903197038168177</v>
      </c>
      <c r="AB96" s="34">
        <f>(G96/100-AA96)*100</f>
        <v>0.49680296183182426</v>
      </c>
      <c r="AC96" s="34">
        <f>T96+X96+AB96</f>
        <v>1.3468029618316253</v>
      </c>
      <c r="AD96" s="24">
        <f>IF(AC96=0,0,ROUND(T96*P96/AC96+1E-9,2))</f>
        <v>0.85</v>
      </c>
      <c r="AE96" s="24">
        <f>IF(AC96=0,0,ROUND(X96*P96/AC96+1E-9,2))</f>
        <v>0</v>
      </c>
      <c r="AF96" s="24">
        <f>IF(AC96=0,0,ROUND(AB96*P96/AC96+1E-9,2))</f>
        <v>0.5</v>
      </c>
      <c r="AG96" s="24">
        <v>0</v>
      </c>
      <c r="AH96" s="35">
        <f>ROUND(AD96+AE96+AF96+AG96+1E-9,2)</f>
        <v>1.35</v>
      </c>
    </row>
    <row r="97" spans="1:34" x14ac:dyDescent="0.25">
      <c r="A97" s="13" t="s">
        <v>122</v>
      </c>
      <c r="B97" s="23">
        <v>1</v>
      </c>
      <c r="C97" s="18">
        <f>IF(ROUND(D97/12,0)&gt;10,CHOOSE(B97,1,5,10,ROUND(D97/12,0)),CHOOSE(B97,1,3,5,ROUND(D97/12,0)))</f>
        <v>1</v>
      </c>
      <c r="D97" s="23">
        <v>240</v>
      </c>
      <c r="E97" s="18">
        <f>C97*12</f>
        <v>12</v>
      </c>
      <c r="F97" s="17">
        <f>INDEX('Fee Switch-Off'!$F$5:$F$30,MATCH($A97,'Fee Switch-Off'!$A$5:$A$30,0))</f>
        <v>2000</v>
      </c>
      <c r="G97" s="32">
        <v>10.85</v>
      </c>
      <c r="H97" s="24">
        <f>IF(ISNUMBER(SEARCH("TFI",INDEX('Fee Switch-Off'!$C$5:$C$30,MATCH($A97,'Fee Switch-Off'!$A$5:$A$30,0)))),Assumptions!$B$8,Assumptions!$B$7)</f>
        <v>0.7</v>
      </c>
      <c r="I97" s="16">
        <f>INDEX('Quote Summary'!$E$5:$E$30,MATCH($A97,'Quote Summary'!$A$5:$A$30,0))</f>
        <v>0</v>
      </c>
      <c r="J97" s="24">
        <f>Assumptions!$B$9</f>
        <v>0.35</v>
      </c>
      <c r="K97" s="16">
        <f>Assumptions!$B$10</f>
        <v>1.725</v>
      </c>
      <c r="L97" s="24">
        <f>Assumptions!$B$11</f>
        <v>0</v>
      </c>
      <c r="M97" s="33">
        <f>(G97-(H97+J97+I97+L97))/100</f>
        <v>0.098</v>
      </c>
      <c r="N97" s="17">
        <f>F97*(1-(K97)/100)*(((1+M97)^(E97/12)-1)/((1+M97)^(1/12)-1))*(1+M97)^(1/12)</f>
        <v>24820.143161903015</v>
      </c>
      <c r="O97" s="33">
        <f>(1+RATE(E97,-F97,0,N97,1))^12-1</f>
        <v>0.06368866713201382</v>
      </c>
      <c r="P97" s="34">
        <f>(G97/100-O97)*100</f>
        <v>4.4811332867986176</v>
      </c>
      <c r="Q97" s="33">
        <f>(G97-(H97))/100</f>
        <v>0.1015</v>
      </c>
      <c r="R97" s="17">
        <f>F97*(1-(0)/100)*(((1+Q97)^(E97/12)-1)/((1+Q97)^(1/12)-1))*(1+Q97)^(1/12)</f>
        <v>25300.014741718685</v>
      </c>
      <c r="S97" s="33">
        <f>(1+RATE(E97,-F97,0,R97,1))^12-1</f>
        <v>0.10150000000000059</v>
      </c>
      <c r="T97" s="34">
        <f>(G97/100-S97)*100</f>
        <v>0.6999999999999409</v>
      </c>
      <c r="U97" s="33">
        <f>(G97-(I97))/100</f>
        <v>0.1085</v>
      </c>
      <c r="V97" s="17">
        <f>F97*(1-(0)/100)*(((1+U97)^(E97/12)-1)/((1+U97)^(1/12)-1))*(1+U97)^(1/12)</f>
        <v>25388.306496923058</v>
      </c>
      <c r="W97" s="33">
        <f>(1+RATE(E97,-F97,0,V97,1))^12-1</f>
        <v>0.10850000000000337</v>
      </c>
      <c r="X97" s="34">
        <f>(G97/100-W97)*100</f>
        <v>-3.372302437298913e-13</v>
      </c>
      <c r="Y97" s="33">
        <f>(G97-(J97))/100</f>
        <v>0.105</v>
      </c>
      <c r="Z97" s="17">
        <f>F97*(1-(K97)/100)*(((1+Y97)^(E97/12)-1)/((1+Y97)^(1/12)-1))*(1+Y97)^(1/12)</f>
        <v>24906.99443814068</v>
      </c>
      <c r="AA97" s="33">
        <f>(1+RATE(E97,-F97,0,Z97,1))^12-1</f>
        <v>0.07050257034432073</v>
      </c>
      <c r="AB97" s="34">
        <f>(G97/100-AA97)*100</f>
        <v>3.7997429655679276</v>
      </c>
      <c r="AC97" s="34">
        <f>T97+X97+AB97</f>
        <v>4.499742965567531</v>
      </c>
      <c r="AD97" s="24">
        <f>IF(AC97=0,0,ROUND(T97*P97/AC97+1E-9,2))</f>
        <v>0.7</v>
      </c>
      <c r="AE97" s="24">
        <f>IF(AC97=0,0,ROUND(X97*P97/AC97+1E-9,2))</f>
        <v>0</v>
      </c>
      <c r="AF97" s="24">
        <f>IF(AC97=0,0,ROUND(AB97*P97/AC97+1E-9,2))</f>
        <v>3.78</v>
      </c>
      <c r="AG97" s="24">
        <v>0</v>
      </c>
      <c r="AH97" s="35">
        <f>ROUND(AD97+AE97+AF97+AG97+1E-9,2)</f>
        <v>4.48</v>
      </c>
    </row>
    <row r="98" spans="1:34" x14ac:dyDescent="0.25">
      <c r="A98" s="13" t="s">
        <v>122</v>
      </c>
      <c r="B98" s="23">
        <v>2</v>
      </c>
      <c r="C98" s="18">
        <f>IF(ROUND(D98/12,0)&gt;10,CHOOSE(B98,1,5,10,ROUND(D98/12,0)),CHOOSE(B98,1,3,5,ROUND(D98/12,0)))</f>
        <v>5</v>
      </c>
      <c r="D98" s="23">
        <v>240</v>
      </c>
      <c r="E98" s="18">
        <f>C98*12</f>
        <v>60</v>
      </c>
      <c r="F98" s="17">
        <f>INDEX('Fee Switch-Off'!$F$5:$F$30,MATCH($A98,'Fee Switch-Off'!$A$5:$A$30,0))</f>
        <v>2000</v>
      </c>
      <c r="G98" s="32">
        <v>10.85</v>
      </c>
      <c r="H98" s="24">
        <f>IF(ISNUMBER(SEARCH("TFI",INDEX('Fee Switch-Off'!$C$5:$C$30,MATCH($A98,'Fee Switch-Off'!$A$5:$A$30,0)))),Assumptions!$B$8,Assumptions!$B$7)</f>
        <v>0.7</v>
      </c>
      <c r="I98" s="16">
        <f>INDEX('Quote Summary'!$E$5:$E$30,MATCH($A98,'Quote Summary'!$A$5:$A$30,0))</f>
        <v>0</v>
      </c>
      <c r="J98" s="24">
        <f>Assumptions!$B$9</f>
        <v>0.35</v>
      </c>
      <c r="K98" s="16">
        <f>Assumptions!$B$10</f>
        <v>1.725</v>
      </c>
      <c r="L98" s="24">
        <f>Assumptions!$B$11</f>
        <v>0</v>
      </c>
      <c r="M98" s="33">
        <f>(G98-(H98+J98+I98+L98))/100</f>
        <v>0.098</v>
      </c>
      <c r="N98" s="17">
        <f>F98*(1-(K98)/100)*(((1+M98)^(E98/12)-1)/((1+M98)^(1/12)-1))*(1+M98)^(1/12)</f>
        <v>150927.2745893415</v>
      </c>
      <c r="O98" s="33">
        <f>(1+RATE(E98,-F98,0,N98,1))^12-1</f>
        <v>0.09102153313967665</v>
      </c>
      <c r="P98" s="34">
        <f>(G98/100-O98)*100</f>
        <v>1.7478466860323352</v>
      </c>
      <c r="Q98" s="33">
        <f>(G98-(H98))/100</f>
        <v>0.1015</v>
      </c>
      <c r="R98" s="17">
        <f>F98*(1-(0)/100)*(((1+Q98)^(E98/12)-1)/((1+Q98)^(1/12)-1))*(1+Q98)^(1/12)</f>
        <v>154921.0230830277</v>
      </c>
      <c r="S98" s="33">
        <f>(1+RATE(E98,-F98,0,R98,1))^12-1</f>
        <v>0.10150000000000059</v>
      </c>
      <c r="T98" s="34">
        <f>(G98/100-S98)*100</f>
        <v>0.6999999999999409</v>
      </c>
      <c r="U98" s="33">
        <f>(G98-(I98))/100</f>
        <v>0.1085</v>
      </c>
      <c r="V98" s="17">
        <f>F98*(1-(0)/100)*(((1+U98)^(E98/12)-1)/((1+U98)^(1/12)-1))*(1+U98)^(1/12)</f>
        <v>157642.2794448598</v>
      </c>
      <c r="W98" s="33">
        <f>(1+RATE(E98,-F98,0,V98,1))^12-1</f>
        <v>0.10850000000000337</v>
      </c>
      <c r="X98" s="34">
        <f>(G98/100-W98)*100</f>
        <v>-3.372302437298913e-13</v>
      </c>
      <c r="Y98" s="33">
        <f>(G98-(J98))/100</f>
        <v>0.105</v>
      </c>
      <c r="Z98" s="17">
        <f>F98*(1-(K98)/100)*(((1+Y98)^(E98/12)-1)/((1+Y98)^(1/12)-1))*(1+Y98)^(1/12)</f>
        <v>153580.5047454796</v>
      </c>
      <c r="AA98" s="33">
        <f>(1+RATE(E98,-F98,0,Z98,1))^12-1</f>
        <v>0.09801054790656316</v>
      </c>
      <c r="AB98" s="34">
        <f>(G98/100-AA98)*100</f>
        <v>1.0489452093436837</v>
      </c>
      <c r="AC98" s="34">
        <f>T98+X98+AB98</f>
        <v>1.7489452093432873</v>
      </c>
      <c r="AD98" s="24">
        <f>IF(AC98=0,0,ROUND(T98*P98/AC98+1E-9,2))</f>
        <v>0.7</v>
      </c>
      <c r="AE98" s="24">
        <f>IF(AC98=0,0,ROUND(X98*P98/AC98+1E-9,2))</f>
        <v>0</v>
      </c>
      <c r="AF98" s="24">
        <f>IF(AC98=0,0,ROUND(AB98*P98/AC98+1E-9,2))</f>
        <v>1.05</v>
      </c>
      <c r="AG98" s="24">
        <v>0</v>
      </c>
      <c r="AH98" s="35">
        <f>ROUND(AD98+AE98+AF98+AG98+1E-9,2)</f>
        <v>1.75</v>
      </c>
    </row>
    <row r="99" spans="1:34" x14ac:dyDescent="0.25">
      <c r="A99" s="13" t="s">
        <v>122</v>
      </c>
      <c r="B99" s="23">
        <v>3</v>
      </c>
      <c r="C99" s="18">
        <f>IF(ROUND(D99/12,0)&gt;10,CHOOSE(B99,1,5,10,ROUND(D99/12,0)),CHOOSE(B99,1,3,5,ROUND(D99/12,0)))</f>
        <v>10</v>
      </c>
      <c r="D99" s="23">
        <v>240</v>
      </c>
      <c r="E99" s="18">
        <f>C99*12</f>
        <v>120</v>
      </c>
      <c r="F99" s="17">
        <f>INDEX('Fee Switch-Off'!$F$5:$F$30,MATCH($A99,'Fee Switch-Off'!$A$5:$A$30,0))</f>
        <v>2000</v>
      </c>
      <c r="G99" s="32">
        <v>10.85</v>
      </c>
      <c r="H99" s="24">
        <f>IF(ISNUMBER(SEARCH("TFI",INDEX('Fee Switch-Off'!$C$5:$C$30,MATCH($A99,'Fee Switch-Off'!$A$5:$A$30,0)))),Assumptions!$B$8,Assumptions!$B$7)</f>
        <v>0.7</v>
      </c>
      <c r="I99" s="16">
        <f>INDEX('Quote Summary'!$E$5:$E$30,MATCH($A99,'Quote Summary'!$A$5:$A$30,0))</f>
        <v>0</v>
      </c>
      <c r="J99" s="24">
        <f>Assumptions!$B$9</f>
        <v>0.35</v>
      </c>
      <c r="K99" s="16">
        <f>Assumptions!$B$10</f>
        <v>1.725</v>
      </c>
      <c r="L99" s="24">
        <f>Assumptions!$B$11</f>
        <v>0</v>
      </c>
      <c r="M99" s="33">
        <f>(G99-(H99+J99+I99+L99))/100</f>
        <v>0.098</v>
      </c>
      <c r="N99" s="17">
        <f>F99*(1-(K99)/100)*(((1+M99)^(E99/12)-1)/((1+M99)^(1/12)-1))*(1+M99)^(1/12)</f>
        <v>391795.4541325757</v>
      </c>
      <c r="O99" s="33">
        <f>(1+RATE(E99,-F99,0,N99,1))^12-1</f>
        <v>0.09470947552385356</v>
      </c>
      <c r="P99" s="34">
        <f>(G99/100-O99)*100</f>
        <v>1.379052447614644</v>
      </c>
      <c r="Q99" s="33">
        <f>(G99-(H99))/100</f>
        <v>0.1015</v>
      </c>
      <c r="R99" s="17">
        <f>F99*(1-(0)/100)*(((1+Q99)^(E99/12)-1)/((1+Q99)^(1/12)-1))*(1+Q99)^(1/12)</f>
        <v>406128.6748209352</v>
      </c>
      <c r="S99" s="33">
        <f>(1+RATE(E99,-F99,0,R99,1))^12-1</f>
        <v>0.10150000000000059</v>
      </c>
      <c r="T99" s="34">
        <f>(G99/100-S99)*100</f>
        <v>0.6999999999999409</v>
      </c>
      <c r="U99" s="33">
        <f>(G99-(I99))/100</f>
        <v>0.1085</v>
      </c>
      <c r="V99" s="17">
        <f>F99*(1-(0)/100)*(((1+U99)^(E99/12)-1)/((1+U99)^(1/12)-1))*(1+U99)^(1/12)</f>
        <v>421488.6917832142</v>
      </c>
      <c r="W99" s="33">
        <f>(1+RATE(E99,-F99,0,V99,1))^12-1</f>
        <v>0.10850000000000337</v>
      </c>
      <c r="X99" s="34">
        <f>(G99/100-W99)*100</f>
        <v>-3.372302437298913e-13</v>
      </c>
      <c r="Y99" s="33">
        <f>(G99-(J99))/100</f>
        <v>0.105</v>
      </c>
      <c r="Z99" s="17">
        <f>F99*(1-(K99)/100)*(((1+Y99)^(E99/12)-1)/((1+Y99)^(1/12)-1))*(1+Y99)^(1/12)</f>
        <v>406596.21059995005</v>
      </c>
      <c r="AA99" s="33">
        <f>(1+RATE(E99,-F99,0,Z99,1))^12-1</f>
        <v>0.10171718692432763</v>
      </c>
      <c r="AB99" s="34">
        <f>(G99/100-AA99)*100</f>
        <v>0.6782813075672369</v>
      </c>
      <c r="AC99" s="34">
        <f>T99+X99+AB99</f>
        <v>1.3782813075668405</v>
      </c>
      <c r="AD99" s="24">
        <f>IF(AC99=0,0,ROUND(T99*P99/AC99+1E-9,2))</f>
        <v>0.7</v>
      </c>
      <c r="AE99" s="24">
        <f>IF(AC99=0,0,ROUND(X99*P99/AC99+1E-9,2))</f>
        <v>0</v>
      </c>
      <c r="AF99" s="24">
        <f>IF(AC99=0,0,ROUND(AB99*P99/AC99+1E-9,2))</f>
        <v>0.68</v>
      </c>
      <c r="AG99" s="24">
        <v>0</v>
      </c>
      <c r="AH99" s="35">
        <f>ROUND(AD99+AE99+AF99+AG99+1E-9,2)</f>
        <v>1.38</v>
      </c>
    </row>
    <row r="100" spans="1:34" x14ac:dyDescent="0.25">
      <c r="A100" s="13" t="s">
        <v>122</v>
      </c>
      <c r="B100" s="23">
        <v>4</v>
      </c>
      <c r="C100" s="18">
        <f>IF(ROUND(D100/12,0)&gt;10,CHOOSE(B100,1,5,10,ROUND(D100/12,0)),CHOOSE(B100,1,3,5,ROUND(D100/12,0)))</f>
        <v>20</v>
      </c>
      <c r="D100" s="23">
        <v>240</v>
      </c>
      <c r="E100" s="18">
        <f>C100*12</f>
        <v>240</v>
      </c>
      <c r="F100" s="17">
        <f>INDEX('Fee Switch-Off'!$F$5:$F$30,MATCH($A100,'Fee Switch-Off'!$A$5:$A$30,0))</f>
        <v>2000</v>
      </c>
      <c r="G100" s="32">
        <v>10.85</v>
      </c>
      <c r="H100" s="24">
        <f>IF(ISNUMBER(SEARCH("TFI",INDEX('Fee Switch-Off'!$C$5:$C$30,MATCH($A100,'Fee Switch-Off'!$A$5:$A$30,0)))),Assumptions!$B$8,Assumptions!$B$7)</f>
        <v>0.7</v>
      </c>
      <c r="I100" s="16">
        <f>INDEX('Quote Summary'!$E$5:$E$30,MATCH($A100,'Quote Summary'!$A$5:$A$30,0))</f>
        <v>0</v>
      </c>
      <c r="J100" s="24">
        <f>Assumptions!$B$9</f>
        <v>0.35</v>
      </c>
      <c r="K100" s="16">
        <f>Assumptions!$B$10</f>
        <v>1.725</v>
      </c>
      <c r="L100" s="24">
        <f>Assumptions!$B$11</f>
        <v>0</v>
      </c>
      <c r="M100" s="33">
        <f>(G100-(H100+J100+I100+L100))/100</f>
        <v>0.098</v>
      </c>
      <c r="N100" s="17">
        <f>F100*(1-(K100)/100)*(((1+M100)^(E100/12)-1)/((1+M100)^(1/12)-1))*(1+M100)^(1/12)</f>
        <v>1389685.7375338108</v>
      </c>
      <c r="O100" s="33">
        <f>(1+RATE(E100,-F100,0,N100,1))^12-1</f>
        <v>0.09652806269234926</v>
      </c>
      <c r="P100" s="34">
        <f>(G100/100-O100)*100</f>
        <v>1.197193730765074</v>
      </c>
      <c r="Q100" s="33">
        <f>(G100-(H100))/100</f>
        <v>0.1015</v>
      </c>
      <c r="R100" s="17">
        <f>F100*(1-(0)/100)*(((1+Q100)^(E100/12)-1)/((1+Q100)^(1/12)-1))*(1+Q100)^(1/12)</f>
        <v>1473974.7823334301</v>
      </c>
      <c r="S100" s="33">
        <f>(1+RATE(E100,-F100,0,R100,1))^12-1</f>
        <v>0.10150000000000059</v>
      </c>
      <c r="T100" s="34">
        <f>(G100/100-S100)*100</f>
        <v>0.6999999999999409</v>
      </c>
      <c r="U100" s="33">
        <f>(G100-(I100))/100</f>
        <v>0.1085</v>
      </c>
      <c r="V100" s="17">
        <f>F100*(1-(0)/100)*(((1+U100)^(E100/12)-1)/((1+U100)^(1/12)-1))*(1+U100)^(1/12)</f>
        <v>1602197.768333259</v>
      </c>
      <c r="W100" s="33">
        <f>(1+RATE(E100,-F100,0,V100,1))^12-1</f>
        <v>0.10850000000000337</v>
      </c>
      <c r="X100" s="34">
        <f>(G100/100-W100)*100</f>
        <v>-3.372302437298913e-13</v>
      </c>
      <c r="Y100" s="33">
        <f>(G100-(J100))/100</f>
        <v>0.105</v>
      </c>
      <c r="Z100" s="17">
        <f>F100*(1-(K100)/100)*(((1+Y100)^(E100/12)-1)/((1+Y100)^(1/12)-1))*(1+Y100)^(1/12)</f>
        <v>1510131.19809277</v>
      </c>
      <c r="AA100" s="33">
        <f>(1+RATE(E100,-F100,0,Z100,1))^12-1</f>
        <v>0.10353872747944615</v>
      </c>
      <c r="AB100" s="34">
        <f>(G100/100-AA100)*100</f>
        <v>0.49612725205538527</v>
      </c>
      <c r="AC100" s="34">
        <f>T100+X100+AB100</f>
        <v>1.1961272520549888</v>
      </c>
      <c r="AD100" s="24">
        <f>IF(AC100=0,0,ROUND(T100*P100/AC100+1E-9,2))</f>
        <v>0.7</v>
      </c>
      <c r="AE100" s="24">
        <f>IF(AC100=0,0,ROUND(X100*P100/AC100+1E-9,2))</f>
        <v>0</v>
      </c>
      <c r="AF100" s="24">
        <f>IF(AC100=0,0,ROUND(AB100*P100/AC100+1E-9,2))</f>
        <v>0.5</v>
      </c>
      <c r="AG100" s="24">
        <v>0</v>
      </c>
      <c r="AH100" s="35">
        <f>ROUND(AD100+AE100+AF100+AG100+1E-9,2)</f>
        <v>1.2</v>
      </c>
    </row>
    <row r="101" spans="1:34" x14ac:dyDescent="0.25">
      <c r="A101" s="13" t="s">
        <v>124</v>
      </c>
      <c r="B101" s="23">
        <v>1</v>
      </c>
      <c r="C101" s="18">
        <f>IF(ROUND(D101/12,0)&gt;10,CHOOSE(B101,1,5,10,ROUND(D101/12,0)),CHOOSE(B101,1,3,5,ROUND(D101/12,0)))</f>
        <v>1</v>
      </c>
      <c r="D101" s="23">
        <v>240</v>
      </c>
      <c r="E101" s="18">
        <f>C101*12</f>
        <v>12</v>
      </c>
      <c r="F101" s="17">
        <f>INDEX('Fee Switch-Off'!$F$5:$F$30,MATCH($A101,'Fee Switch-Off'!$A$5:$A$30,0))</f>
        <v>1800</v>
      </c>
      <c r="G101" s="32">
        <v>8.6</v>
      </c>
      <c r="H101" s="24">
        <f>IF(ISNUMBER(SEARCH("TFI",INDEX('Fee Switch-Off'!$C$5:$C$30,MATCH($A101,'Fee Switch-Off'!$A$5:$A$30,0)))),Assumptions!$B$8,Assumptions!$B$7)</f>
        <v>0.85</v>
      </c>
      <c r="I101" s="16">
        <f>INDEX('Quote Summary'!$E$5:$E$30,MATCH($A101,'Quote Summary'!$A$5:$A$30,0))</f>
        <v>0</v>
      </c>
      <c r="J101" s="24">
        <f>Assumptions!$B$9</f>
        <v>0.35</v>
      </c>
      <c r="K101" s="16">
        <f>Assumptions!$B$10</f>
        <v>1.725</v>
      </c>
      <c r="L101" s="24">
        <f>Assumptions!$B$11</f>
        <v>0</v>
      </c>
      <c r="M101" s="33">
        <f>(G101-(H101+J101+I101+L101))/100</f>
        <v>0.074</v>
      </c>
      <c r="N101" s="17">
        <f>F101*(1-(K101)/100)*(((1+M101)^(E101/12)-1)/((1+M101)^(1/12)-1))*(1+M101)^(1/12)</f>
        <v>22068.985525604956</v>
      </c>
      <c r="O101" s="33">
        <f>(1+RATE(E101,-F101,0,N101,1))^12-1</f>
        <v>0.04032781472953473</v>
      </c>
      <c r="P101" s="34">
        <f>(G101/100-O101)*100</f>
        <v>4.567218527046527</v>
      </c>
      <c r="Q101" s="33">
        <f>(G101-(H101))/100</f>
        <v>0.07749999999999999</v>
      </c>
      <c r="R101" s="17">
        <f>F101*(1-(0)/100)*(((1+Q101)^(E101/12)-1)/((1+Q101)^(1/12)-1))*(1+Q101)^(1/12)</f>
        <v>22496.410503449853</v>
      </c>
      <c r="S101" s="33">
        <f>(1+RATE(E101,-F101,0,R101,1))^12-1</f>
        <v>0.07749999999999169</v>
      </c>
      <c r="T101" s="34">
        <f>(G101/100-S101)*100</f>
        <v>0.8500000000008306</v>
      </c>
      <c r="U101" s="33">
        <f>(G101-(I101))/100</f>
        <v>0.086</v>
      </c>
      <c r="V101" s="17">
        <f>F101*(1-(0)/100)*(((1+U101)^(E101/12)-1)/((1+U101)^(1/12)-1))*(1+U101)^(1/12)</f>
        <v>22593.51894819316</v>
      </c>
      <c r="W101" s="33">
        <f>(1+RATE(E101,-F101,0,V101,1))^12-1</f>
        <v>0.08600000000000052</v>
      </c>
      <c r="X101" s="34">
        <f>(G101/100-W101)*100</f>
        <v>-5.2735593669694936e-14</v>
      </c>
      <c r="Y101" s="33">
        <f>(G101-(J101))/100</f>
        <v>0.08249999999999999</v>
      </c>
      <c r="Z101" s="17">
        <f>F101*(1-(K101)/100)*(((1+Y101)^(E101/12)-1)/((1+Y101)^(1/12)-1))*(1+Y101)^(1/12)</f>
        <v>22164.511990037303</v>
      </c>
      <c r="AA101" s="33">
        <f>(1+RATE(E101,-F101,0,Z101,1))^12-1</f>
        <v>0.0486012530399722</v>
      </c>
      <c r="AB101" s="34">
        <f>(G101/100-AA101)*100</f>
        <v>3.739874696002779</v>
      </c>
      <c r="AC101" s="34">
        <f>T101+X101+AB101</f>
        <v>4.589874696003557</v>
      </c>
      <c r="AD101" s="24">
        <f>IF(AC101=0,0,ROUND(T101*P101/AC101+1E-9,2))</f>
        <v>0.85</v>
      </c>
      <c r="AE101" s="24">
        <f>IF(AC101=0,0,ROUND(X101*P101/AC101+1E-9,2))</f>
        <v>0</v>
      </c>
      <c r="AF101" s="24">
        <f>IF(AC101=0,0,ROUND(AB101*P101/AC101+1E-9,2))</f>
        <v>3.72</v>
      </c>
      <c r="AG101" s="24">
        <v>0</v>
      </c>
      <c r="AH101" s="35">
        <f>ROUND(AD101+AE101+AF101+AG101+1E-9,2)</f>
        <v>4.57</v>
      </c>
    </row>
    <row r="102" spans="1:34" x14ac:dyDescent="0.25">
      <c r="A102" s="13" t="s">
        <v>124</v>
      </c>
      <c r="B102" s="23">
        <v>2</v>
      </c>
      <c r="C102" s="18">
        <f>IF(ROUND(D102/12,0)&gt;10,CHOOSE(B102,1,5,10,ROUND(D102/12,0)),CHOOSE(B102,1,3,5,ROUND(D102/12,0)))</f>
        <v>5</v>
      </c>
      <c r="D102" s="23">
        <v>240</v>
      </c>
      <c r="E102" s="18">
        <f>C102*12</f>
        <v>60</v>
      </c>
      <c r="F102" s="17">
        <f>INDEX('Fee Switch-Off'!$F$5:$F$30,MATCH($A102,'Fee Switch-Off'!$A$5:$A$30,0))</f>
        <v>1800</v>
      </c>
      <c r="G102" s="32">
        <v>8.6</v>
      </c>
      <c r="H102" s="24">
        <f>IF(ISNUMBER(SEARCH("TFI",INDEX('Fee Switch-Off'!$C$5:$C$30,MATCH($A102,'Fee Switch-Off'!$A$5:$A$30,0)))),Assumptions!$B$8,Assumptions!$B$7)</f>
        <v>0.85</v>
      </c>
      <c r="I102" s="16">
        <f>INDEX('Quote Summary'!$E$5:$E$30,MATCH($A102,'Quote Summary'!$A$5:$A$30,0))</f>
        <v>0</v>
      </c>
      <c r="J102" s="24">
        <f>Assumptions!$B$9</f>
        <v>0.35</v>
      </c>
      <c r="K102" s="16">
        <f>Assumptions!$B$10</f>
        <v>1.725</v>
      </c>
      <c r="L102" s="24">
        <f>Assumptions!$B$11</f>
        <v>0</v>
      </c>
      <c r="M102" s="33">
        <f>(G102-(H102+J102+I102+L102))/100</f>
        <v>0.074</v>
      </c>
      <c r="N102" s="17">
        <f>F102*(1-(K102)/100)*(((1+M102)^(E102/12)-1)/((1+M102)^(1/12)-1))*(1+M102)^(1/12)</f>
        <v>127929.85075061933</v>
      </c>
      <c r="O102" s="33">
        <f>(1+RATE(E102,-F102,0,N102,1))^12-1</f>
        <v>0.06705798708496058</v>
      </c>
      <c r="P102" s="34">
        <f>(G102/100-O102)*100</f>
        <v>1.8942012915039412</v>
      </c>
      <c r="Q102" s="33">
        <f>(G102-(H102))/100</f>
        <v>0.07749999999999999</v>
      </c>
      <c r="R102" s="17">
        <f>F102*(1-(0)/100)*(((1+Q102)^(E102/12)-1)/((1+Q102)^(1/12)-1))*(1+Q102)^(1/12)</f>
        <v>131321.13151008877</v>
      </c>
      <c r="S102" s="33">
        <f>(1+RATE(E102,-F102,0,R102,1))^12-1</f>
        <v>0.07749999999999724</v>
      </c>
      <c r="T102" s="34">
        <f>(G102/100-S102)*100</f>
        <v>0.8500000000002755</v>
      </c>
      <c r="U102" s="33">
        <f>(G102-(I102))/100</f>
        <v>0.086</v>
      </c>
      <c r="V102" s="17">
        <f>F102*(1-(0)/100)*(((1+U102)^(E102/12)-1)/((1+U102)^(1/12)-1))*(1+U102)^(1/12)</f>
        <v>134142.1272981838</v>
      </c>
      <c r="W102" s="33">
        <f>(1+RATE(E102,-F102,0,V102,1))^12-1</f>
        <v>0.08600000000000052</v>
      </c>
      <c r="X102" s="34">
        <f>(G102/100-W102)*100</f>
        <v>-5.2735593669694936e-14</v>
      </c>
      <c r="Y102" s="33">
        <f>(G102-(J102))/100</f>
        <v>0.08249999999999999</v>
      </c>
      <c r="Z102" s="17">
        <f>F102*(1-(K102)/100)*(((1+Y102)^(E102/12)-1)/((1+Y102)^(1/12)-1))*(1+Y102)^(1/12)</f>
        <v>130680.10981018767</v>
      </c>
      <c r="AA102" s="33">
        <f>(1+RATE(E102,-F102,0,Z102,1))^12-1</f>
        <v>0.07554529256485698</v>
      </c>
      <c r="AB102" s="34">
        <f>(G102/100-AA102)*100</f>
        <v>1.0454707435143011</v>
      </c>
      <c r="AC102" s="34">
        <f>T102+X102+AB102</f>
        <v>1.895470743514524</v>
      </c>
      <c r="AD102" s="24">
        <f>IF(AC102=0,0,ROUND(T102*P102/AC102+1E-9,2))</f>
        <v>0.85</v>
      </c>
      <c r="AE102" s="24">
        <f>IF(AC102=0,0,ROUND(X102*P102/AC102+1E-9,2))</f>
        <v>0</v>
      </c>
      <c r="AF102" s="24">
        <f>IF(AC102=0,0,ROUND(AB102*P102/AC102+1E-9,2))</f>
        <v>1.04</v>
      </c>
      <c r="AG102" s="24">
        <v>0</v>
      </c>
      <c r="AH102" s="35">
        <f>ROUND(AD102+AE102+AF102+AG102+1E-9,2)</f>
        <v>1.89</v>
      </c>
    </row>
    <row r="103" spans="1:34" x14ac:dyDescent="0.25">
      <c r="A103" s="13" t="s">
        <v>124</v>
      </c>
      <c r="B103" s="23">
        <v>3</v>
      </c>
      <c r="C103" s="18">
        <f>IF(ROUND(D103/12,0)&gt;10,CHOOSE(B103,1,5,10,ROUND(D103/12,0)),CHOOSE(B103,1,3,5,ROUND(D103/12,0)))</f>
        <v>10</v>
      </c>
      <c r="D103" s="23">
        <v>240</v>
      </c>
      <c r="E103" s="18">
        <f>C103*12</f>
        <v>120</v>
      </c>
      <c r="F103" s="17">
        <f>INDEX('Fee Switch-Off'!$F$5:$F$30,MATCH($A103,'Fee Switch-Off'!$A$5:$A$30,0))</f>
        <v>1800</v>
      </c>
      <c r="G103" s="32">
        <v>8.6</v>
      </c>
      <c r="H103" s="24">
        <f>IF(ISNUMBER(SEARCH("TFI",INDEX('Fee Switch-Off'!$C$5:$C$30,MATCH($A103,'Fee Switch-Off'!$A$5:$A$30,0)))),Assumptions!$B$8,Assumptions!$B$7)</f>
        <v>0.85</v>
      </c>
      <c r="I103" s="16">
        <f>INDEX('Quote Summary'!$E$5:$E$30,MATCH($A103,'Quote Summary'!$A$5:$A$30,0))</f>
        <v>0</v>
      </c>
      <c r="J103" s="24">
        <f>Assumptions!$B$9</f>
        <v>0.35</v>
      </c>
      <c r="K103" s="16">
        <f>Assumptions!$B$10</f>
        <v>1.725</v>
      </c>
      <c r="L103" s="24">
        <f>Assumptions!$B$11</f>
        <v>0</v>
      </c>
      <c r="M103" s="33">
        <f>(G103-(H103+J103+I103+L103))/100</f>
        <v>0.074</v>
      </c>
      <c r="N103" s="17">
        <f>F103*(1-(K103)/100)*(((1+M103)^(E103/12)-1)/((1+M103)^(1/12)-1))*(1+M103)^(1/12)</f>
        <v>310737.0521326242</v>
      </c>
      <c r="O103" s="33">
        <f>(1+RATE(E103,-F103,0,N103,1))^12-1</f>
        <v>0.07067923499539464</v>
      </c>
      <c r="P103" s="34">
        <f>(G103/100-O103)*100</f>
        <v>1.5320765004605357</v>
      </c>
      <c r="Q103" s="33">
        <f>(G103-(H103))/100</f>
        <v>0.07749999999999999</v>
      </c>
      <c r="R103" s="17">
        <f>F103*(1-(0)/100)*(((1+Q103)^(E103/12)-1)/((1+Q103)^(1/12)-1))*(1+Q103)^(1/12)</f>
        <v>322052.0105143178</v>
      </c>
      <c r="S103" s="33">
        <f>(1+RATE(E103,-F103,0,R103,1))^12-1</f>
        <v>0.07749999999999724</v>
      </c>
      <c r="T103" s="34">
        <f>(G103/100-S103)*100</f>
        <v>0.8500000000002755</v>
      </c>
      <c r="U103" s="33">
        <f>(G103-(I103))/100</f>
        <v>0.086</v>
      </c>
      <c r="V103" s="17">
        <f>F103*(1-(0)/100)*(((1+U103)^(E103/12)-1)/((1+U103)^(1/12)-1))*(1+U103)^(1/12)</f>
        <v>336777.0595786933</v>
      </c>
      <c r="W103" s="33">
        <f>(1+RATE(E103,-F103,0,V103,1))^12-1</f>
        <v>0.08600000000000052</v>
      </c>
      <c r="X103" s="34">
        <f>(G103/100-W103)*100</f>
        <v>-5.2735593669694936e-14</v>
      </c>
      <c r="Y103" s="33">
        <f>(G103-(J103))/100</f>
        <v>0.08249999999999999</v>
      </c>
      <c r="Z103" s="17">
        <f>F103*(1-(K103)/100)*(((1+Y103)^(E103/12)-1)/((1+Y103)^(1/12)-1))*(1+Y103)^(1/12)</f>
        <v>324924.7373676423</v>
      </c>
      <c r="AA103" s="33">
        <f>(1+RATE(E103,-F103,0,Z103,1))^12-1</f>
        <v>0.07919063451727903</v>
      </c>
      <c r="AB103" s="34">
        <f>(G103/100-AA103)*100</f>
        <v>0.6809365482720958</v>
      </c>
      <c r="AC103" s="34">
        <f>T103+X103+AB103</f>
        <v>1.5309365482723187</v>
      </c>
      <c r="AD103" s="24">
        <f>IF(AC103=0,0,ROUND(T103*P103/AC103+1E-9,2))</f>
        <v>0.85</v>
      </c>
      <c r="AE103" s="24">
        <f>IF(AC103=0,0,ROUND(X103*P103/AC103+1E-9,2))</f>
        <v>0</v>
      </c>
      <c r="AF103" s="24">
        <f>IF(AC103=0,0,ROUND(AB103*P103/AC103+1E-9,2))</f>
        <v>0.68</v>
      </c>
      <c r="AG103" s="24">
        <v>0</v>
      </c>
      <c r="AH103" s="35">
        <f>ROUND(AD103+AE103+AF103+AG103+1E-9,2)</f>
        <v>1.53</v>
      </c>
    </row>
    <row r="104" spans="1:34" x14ac:dyDescent="0.25">
      <c r="A104" s="13" t="s">
        <v>124</v>
      </c>
      <c r="B104" s="23">
        <v>4</v>
      </c>
      <c r="C104" s="18">
        <f>IF(ROUND(D104/12,0)&gt;10,CHOOSE(B104,1,5,10,ROUND(D104/12,0)),CHOOSE(B104,1,3,5,ROUND(D104/12,0)))</f>
        <v>20</v>
      </c>
      <c r="D104" s="23">
        <v>240</v>
      </c>
      <c r="E104" s="18">
        <f>C104*12</f>
        <v>240</v>
      </c>
      <c r="F104" s="17">
        <f>INDEX('Fee Switch-Off'!$F$5:$F$30,MATCH($A104,'Fee Switch-Off'!$A$5:$A$30,0))</f>
        <v>1800</v>
      </c>
      <c r="G104" s="32">
        <v>8.6</v>
      </c>
      <c r="H104" s="24">
        <f>IF(ISNUMBER(SEARCH("TFI",INDEX('Fee Switch-Off'!$C$5:$C$30,MATCH($A104,'Fee Switch-Off'!$A$5:$A$30,0)))),Assumptions!$B$8,Assumptions!$B$7)</f>
        <v>0.85</v>
      </c>
      <c r="I104" s="16">
        <f>INDEX('Quote Summary'!$E$5:$E$30,MATCH($A104,'Quote Summary'!$A$5:$A$30,0))</f>
        <v>0</v>
      </c>
      <c r="J104" s="24">
        <f>Assumptions!$B$9</f>
        <v>0.35</v>
      </c>
      <c r="K104" s="16">
        <f>Assumptions!$B$10</f>
        <v>1.725</v>
      </c>
      <c r="L104" s="24">
        <f>Assumptions!$B$11</f>
        <v>0</v>
      </c>
      <c r="M104" s="33">
        <f>(G104-(H104+J104+I104+L104))/100</f>
        <v>0.074</v>
      </c>
      <c r="N104" s="17">
        <f>F104*(1-(K104)/100)*(((1+M104)^(E104/12)-1)/((1+M104)^(1/12)-1))*(1+M104)^(1/12)</f>
        <v>945243.2301159718</v>
      </c>
      <c r="O104" s="33">
        <f>(1+RATE(E104,-F104,0,N104,1))^12-1</f>
        <v>0.07248452301117858</v>
      </c>
      <c r="P104" s="34">
        <f>(G104/100-O104)*100</f>
        <v>1.351547698882141</v>
      </c>
      <c r="Q104" s="33">
        <f>(G104-(H104))/100</f>
        <v>0.07749999999999999</v>
      </c>
      <c r="R104" s="17">
        <f>F104*(1-(0)/100)*(((1+Q104)^(E104/12)-1)/((1+Q104)^(1/12)-1))*(1+Q104)^(1/12)</f>
        <v>1001410.1811905741</v>
      </c>
      <c r="S104" s="33">
        <f>(1+RATE(E104,-F104,0,R104,1))^12-1</f>
        <v>0.07749999999999724</v>
      </c>
      <c r="T104" s="34">
        <f>(G104/100-S104)*100</f>
        <v>0.8500000000002755</v>
      </c>
      <c r="U104" s="33">
        <f>(G104-(I104))/100</f>
        <v>0.086</v>
      </c>
      <c r="V104" s="17">
        <f>F104*(1-(0)/100)*(((1+U104)^(E104/12)-1)/((1+U104)^(1/12)-1))*(1+U104)^(1/12)</f>
        <v>1105271.541228488</v>
      </c>
      <c r="W104" s="33">
        <f>(1+RATE(E104,-F104,0,V104,1))^12-1</f>
        <v>0.08600000000000052</v>
      </c>
      <c r="X104" s="34">
        <f>(G104/100-W104)*100</f>
        <v>-5.2735593669694936e-14</v>
      </c>
      <c r="Y104" s="33">
        <f>(G104-(J104))/100</f>
        <v>0.08249999999999999</v>
      </c>
      <c r="Z104" s="17">
        <f>F104*(1-(K104)/100)*(((1+Y104)^(E104/12)-1)/((1+Y104)^(1/12)-1))*(1+Y104)^(1/12)</f>
        <v>1042821.2222104031</v>
      </c>
      <c r="AA104" s="33">
        <f>(1+RATE(E104,-F104,0,Z104,1))^12-1</f>
        <v>0.08100124577386092</v>
      </c>
      <c r="AB104" s="34">
        <f>(G104/100-AA104)*100</f>
        <v>0.4998754226139074</v>
      </c>
      <c r="AC104" s="34">
        <f>T104+X104+AB104</f>
        <v>1.3498754226141303</v>
      </c>
      <c r="AD104" s="24">
        <f>IF(AC104=0,0,ROUND(T104*P104/AC104+1E-9,2))</f>
        <v>0.85</v>
      </c>
      <c r="AE104" s="24">
        <f>IF(AC104=0,0,ROUND(X104*P104/AC104+1E-9,2))</f>
        <v>0</v>
      </c>
      <c r="AF104" s="24">
        <f>IF(AC104=0,0,ROUND(AB104*P104/AC104+1E-9,2))</f>
        <v>0.5</v>
      </c>
      <c r="AG104" s="24">
        <v>0</v>
      </c>
      <c r="AH104" s="35">
        <f>ROUND(AD104+AE104+AF104+AG104+1E-9,2)</f>
        <v>1.35</v>
      </c>
    </row>
    <row r="105" spans="1:34" x14ac:dyDescent="0.25">
      <c r="A105" s="13" t="s">
        <v>126</v>
      </c>
      <c r="B105" s="23">
        <v>1</v>
      </c>
      <c r="C105" s="18">
        <f>IF(ROUND(D105/12,0)&gt;10,CHOOSE(B105,1,5,10,ROUND(D105/12,0)),CHOOSE(B105,1,3,5,ROUND(D105/12,0)))</f>
        <v>1</v>
      </c>
      <c r="D105" s="23">
        <v>240</v>
      </c>
      <c r="E105" s="18">
        <f>C105*12</f>
        <v>12</v>
      </c>
      <c r="F105" s="17">
        <f>INDEX('Fee Switch-Off'!$F$5:$F$30,MATCH($A105,'Fee Switch-Off'!$A$5:$A$30,0))</f>
        <v>2400</v>
      </c>
      <c r="G105" s="32">
        <v>9.05</v>
      </c>
      <c r="H105" s="24">
        <f>IF(ISNUMBER(SEARCH("TFI",INDEX('Fee Switch-Off'!$C$5:$C$30,MATCH($A105,'Fee Switch-Off'!$A$5:$A$30,0)))),Assumptions!$B$8,Assumptions!$B$7)</f>
        <v>0.85</v>
      </c>
      <c r="I105" s="16">
        <f>INDEX('Quote Summary'!$E$5:$E$30,MATCH($A105,'Quote Summary'!$A$5:$A$30,0))</f>
        <v>0</v>
      </c>
      <c r="J105" s="24">
        <f>Assumptions!$B$9</f>
        <v>0.35</v>
      </c>
      <c r="K105" s="16">
        <f>Assumptions!$B$10</f>
        <v>1.725</v>
      </c>
      <c r="L105" s="24">
        <f>Assumptions!$B$11</f>
        <v>0</v>
      </c>
      <c r="M105" s="33">
        <f>(G105-(H105+J105+I105+L105))/100</f>
        <v>0.07850000000000001</v>
      </c>
      <c r="N105" s="17">
        <f>F105*(1-(K105)/100)*(((1+M105)^(E105/12)-1)/((1+M105)^(1/12)-1))*(1+M105)^(1/12)</f>
        <v>29492.78213551586</v>
      </c>
      <c r="O105" s="33">
        <f>(1+RATE(E105,-F105,0,N105,1))^12-1</f>
        <v>0.044707843178733775</v>
      </c>
      <c r="P105" s="34">
        <f>(G105/100-O105)*100</f>
        <v>4.579215682126623</v>
      </c>
      <c r="Q105" s="33">
        <f>(G105-(H105))/100</f>
        <v>0.08200000000000002</v>
      </c>
      <c r="R105" s="17">
        <f>F105*(1-(0)/100)*(((1+Q105)^(E105/12)-1)/((1+Q105)^(1/12)-1))*(1+Q105)^(1/12)</f>
        <v>30063.799273590863</v>
      </c>
      <c r="S105" s="33">
        <f>(1+RATE(E105,-F105,0,R105,1))^12-1</f>
        <v>0.08199999999999474</v>
      </c>
      <c r="T105" s="34">
        <f>(G105/100-S105)*100</f>
        <v>0.8500000000005268</v>
      </c>
      <c r="U105" s="33">
        <f>(G105-(I105))/100</f>
        <v>0.09050000000000001</v>
      </c>
      <c r="V105" s="17">
        <f>F105*(1-(0)/100)*(((1+U105)^(E105/12)-1)/((1+U105)^(1/12)-1))*(1+U105)^(1/12)</f>
        <v>30193.11562409889</v>
      </c>
      <c r="W105" s="33">
        <f>(1+RATE(E105,-F105,0,V105,1))^12-1</f>
        <v>0.0904999999999958</v>
      </c>
      <c r="X105" s="34">
        <f>(G105/100-W105)*100</f>
        <v>4.2049697057677804e-13</v>
      </c>
      <c r="Y105" s="33">
        <f>(G105-(J105))/100</f>
        <v>0.08700000000000001</v>
      </c>
      <c r="Z105" s="17">
        <f>F105*(1-(K105)/100)*(((1+Y105)^(E105/12)-1)/((1+Y105)^(1/12)-1))*(1+Y105)^(1/12)</f>
        <v>29619.99119593838</v>
      </c>
      <c r="AA105" s="33">
        <f>(1+RATE(E105,-F105,0,Z105,1))^12-1</f>
        <v>0.05298139645956401</v>
      </c>
      <c r="AB105" s="34">
        <f>(G105/100-AA105)*100</f>
        <v>3.7518603540436</v>
      </c>
      <c r="AC105" s="34">
        <f>T105+X105+AB105</f>
        <v>4.601860354044547</v>
      </c>
      <c r="AD105" s="24">
        <f>IF(AC105=0,0,ROUND(T105*P105/AC105+1E-9,2))</f>
        <v>0.85</v>
      </c>
      <c r="AE105" s="24">
        <f>IF(AC105=0,0,ROUND(X105*P105/AC105+1E-9,2))</f>
        <v>0</v>
      </c>
      <c r="AF105" s="24">
        <f>IF(AC105=0,0,ROUND(AB105*P105/AC105+1E-9,2))</f>
        <v>3.73</v>
      </c>
      <c r="AG105" s="24">
        <v>0</v>
      </c>
      <c r="AH105" s="35">
        <f>ROUND(AD105+AE105+AF105+AG105+1E-9,2)</f>
        <v>4.58</v>
      </c>
    </row>
    <row r="106" spans="1:34" x14ac:dyDescent="0.25">
      <c r="A106" s="13" t="s">
        <v>126</v>
      </c>
      <c r="B106" s="23">
        <v>2</v>
      </c>
      <c r="C106" s="18">
        <f>IF(ROUND(D106/12,0)&gt;10,CHOOSE(B106,1,5,10,ROUND(D106/12,0)),CHOOSE(B106,1,3,5,ROUND(D106/12,0)))</f>
        <v>5</v>
      </c>
      <c r="D106" s="23">
        <v>240</v>
      </c>
      <c r="E106" s="18">
        <f>C106*12</f>
        <v>60</v>
      </c>
      <c r="F106" s="17">
        <f>INDEX('Fee Switch-Off'!$F$5:$F$30,MATCH($A106,'Fee Switch-Off'!$A$5:$A$30,0))</f>
        <v>2400</v>
      </c>
      <c r="G106" s="32">
        <v>9.05</v>
      </c>
      <c r="H106" s="24">
        <f>IF(ISNUMBER(SEARCH("TFI",INDEX('Fee Switch-Off'!$C$5:$C$30,MATCH($A106,'Fee Switch-Off'!$A$5:$A$30,0)))),Assumptions!$B$8,Assumptions!$B$7)</f>
        <v>0.85</v>
      </c>
      <c r="I106" s="16">
        <f>INDEX('Quote Summary'!$E$5:$E$30,MATCH($A106,'Quote Summary'!$A$5:$A$30,0))</f>
        <v>0</v>
      </c>
      <c r="J106" s="24">
        <f>Assumptions!$B$9</f>
        <v>0.35</v>
      </c>
      <c r="K106" s="16">
        <f>Assumptions!$B$10</f>
        <v>1.725</v>
      </c>
      <c r="L106" s="24">
        <f>Assumptions!$B$11</f>
        <v>0</v>
      </c>
      <c r="M106" s="33">
        <f>(G106-(H106+J106+I106+L106))/100</f>
        <v>0.07850000000000001</v>
      </c>
      <c r="N106" s="17">
        <f>F106*(1-(K106)/100)*(((1+M106)^(E106/12)-1)/((1+M106)^(1/12)-1))*(1+M106)^(1/12)</f>
        <v>172505.61725456823</v>
      </c>
      <c r="O106" s="33">
        <f>(1+RATE(E106,-F106,0,N106,1))^12-1</f>
        <v>0.0715512962394671</v>
      </c>
      <c r="P106" s="34">
        <f>(G106/100-O106)*100</f>
        <v>1.8948703760532912</v>
      </c>
      <c r="Q106" s="33">
        <f>(G106-(H106))/100</f>
        <v>0.08200000000000002</v>
      </c>
      <c r="R106" s="17">
        <f>F106*(1-(0)/100)*(((1+Q106)^(E106/12)-1)/((1+Q106)^(1/12)-1))*(1+Q106)^(1/12)</f>
        <v>177077.0419696285</v>
      </c>
      <c r="S106" s="33">
        <f>(1+RATE(E106,-F106,0,R106,1))^12-1</f>
        <v>0.08199999999999474</v>
      </c>
      <c r="T106" s="34">
        <f>(G106/100-S106)*100</f>
        <v>0.8500000000005268</v>
      </c>
      <c r="U106" s="33">
        <f>(G106-(I106))/100</f>
        <v>0.09050000000000001</v>
      </c>
      <c r="V106" s="17">
        <f>F106*(1-(0)/100)*(((1+U106)^(E106/12)-1)/((1+U106)^(1/12)-1))*(1+U106)^(1/12)</f>
        <v>180877.1631200632</v>
      </c>
      <c r="W106" s="33">
        <f>(1+RATE(E106,-F106,0,V106,1))^12-1</f>
        <v>0.0904999999999958</v>
      </c>
      <c r="X106" s="34">
        <f>(G106/100-W106)*100</f>
        <v>4.2049697057677804e-13</v>
      </c>
      <c r="Y106" s="33">
        <f>(G106-(J106))/100</f>
        <v>0.08700000000000001</v>
      </c>
      <c r="Z106" s="17">
        <f>F106*(1-(K106)/100)*(((1+Y106)^(E106/12)-1)/((1+Y106)^(1/12)-1))*(1+Y106)^(1/12)</f>
        <v>176210.50664130738</v>
      </c>
      <c r="AA106" s="33">
        <f>(1+RATE(E106,-F106,0,Z106,1))^12-1</f>
        <v>0.08003847547779963</v>
      </c>
      <c r="AB106" s="34">
        <f>(G106/100-AA106)*100</f>
        <v>1.046152452220038</v>
      </c>
      <c r="AC106" s="34">
        <f>T106+X106+AB106</f>
        <v>1.8961524522209854</v>
      </c>
      <c r="AD106" s="24">
        <f>IF(AC106=0,0,ROUND(T106*P106/AC106+1E-9,2))</f>
        <v>0.85</v>
      </c>
      <c r="AE106" s="24">
        <f>IF(AC106=0,0,ROUND(X106*P106/AC106+1E-9,2))</f>
        <v>0</v>
      </c>
      <c r="AF106" s="24">
        <f>IF(AC106=0,0,ROUND(AB106*P106/AC106+1E-9,2))</f>
        <v>1.05</v>
      </c>
      <c r="AG106" s="24">
        <v>0</v>
      </c>
      <c r="AH106" s="35">
        <f>ROUND(AD106+AE106+AF106+AG106+1E-9,2)</f>
        <v>1.9</v>
      </c>
    </row>
    <row r="107" spans="1:34" x14ac:dyDescent="0.25">
      <c r="A107" s="13" t="s">
        <v>126</v>
      </c>
      <c r="B107" s="23">
        <v>3</v>
      </c>
      <c r="C107" s="18">
        <f>IF(ROUND(D107/12,0)&gt;10,CHOOSE(B107,1,5,10,ROUND(D107/12,0)),CHOOSE(B107,1,3,5,ROUND(D107/12,0)))</f>
        <v>10</v>
      </c>
      <c r="D107" s="23">
        <v>240</v>
      </c>
      <c r="E107" s="18">
        <f>C107*12</f>
        <v>120</v>
      </c>
      <c r="F107" s="17">
        <f>INDEX('Fee Switch-Off'!$F$5:$F$30,MATCH($A107,'Fee Switch-Off'!$A$5:$A$30,0))</f>
        <v>2400</v>
      </c>
      <c r="G107" s="32">
        <v>9.05</v>
      </c>
      <c r="H107" s="24">
        <f>IF(ISNUMBER(SEARCH("TFI",INDEX('Fee Switch-Off'!$C$5:$C$30,MATCH($A107,'Fee Switch-Off'!$A$5:$A$30,0)))),Assumptions!$B$8,Assumptions!$B$7)</f>
        <v>0.85</v>
      </c>
      <c r="I107" s="16">
        <f>INDEX('Quote Summary'!$E$5:$E$30,MATCH($A107,'Quote Summary'!$A$5:$A$30,0))</f>
        <v>0</v>
      </c>
      <c r="J107" s="24">
        <f>Assumptions!$B$9</f>
        <v>0.35</v>
      </c>
      <c r="K107" s="16">
        <f>Assumptions!$B$10</f>
        <v>1.725</v>
      </c>
      <c r="L107" s="24">
        <f>Assumptions!$B$11</f>
        <v>0</v>
      </c>
      <c r="M107" s="33">
        <f>(G107-(H107+J107+I107+L107))/100</f>
        <v>0.07850000000000001</v>
      </c>
      <c r="N107" s="17">
        <f>F107*(1-(K107)/100)*(((1+M107)^(E107/12)-1)/((1+M107)^(1/12)-1))*(1+M107)^(1/12)</f>
        <v>424217.6568140943</v>
      </c>
      <c r="O107" s="33">
        <f>(1+RATE(E107,-F107,0,N107,1))^12-1</f>
        <v>0.07518536614203963</v>
      </c>
      <c r="P107" s="34">
        <f>(G107/100-O107)*100</f>
        <v>1.5314633857960378</v>
      </c>
      <c r="Q107" s="33">
        <f>(G107-(H107))/100</f>
        <v>0.08200000000000002</v>
      </c>
      <c r="R107" s="17">
        <f>F107*(1-(0)/100)*(((1+Q107)^(E107/12)-1)/((1+Q107)^(1/12)-1))*(1+Q107)^(1/12)</f>
        <v>439679.36428069335</v>
      </c>
      <c r="S107" s="33">
        <f>(1+RATE(E107,-F107,0,R107,1))^12-1</f>
        <v>0.08200000000000052</v>
      </c>
      <c r="T107" s="34">
        <f>(G107/100-S107)*100</f>
        <v>0.8499999999999495</v>
      </c>
      <c r="U107" s="33">
        <f>(G107-(I107))/100</f>
        <v>0.09050000000000001</v>
      </c>
      <c r="V107" s="17">
        <f>F107*(1-(0)/100)*(((1+U107)^(E107/12)-1)/((1+U107)^(1/12)-1))*(1+U107)^(1/12)</f>
        <v>459817.9922553849</v>
      </c>
      <c r="W107" s="33">
        <f>(1+RATE(E107,-F107,0,V107,1))^12-1</f>
        <v>0.0904999999999958</v>
      </c>
      <c r="X107" s="34">
        <f>(G107/100-W107)*100</f>
        <v>4.2049697057677804e-13</v>
      </c>
      <c r="Y107" s="33">
        <f>(G107-(J107))/100</f>
        <v>0.08700000000000001</v>
      </c>
      <c r="Z107" s="17">
        <f>F107*(1-(K107)/100)*(((1+Y107)^(E107/12)-1)/((1+Y107)^(1/12)-1))*(1+Y107)^(1/12)</f>
        <v>443621.6619508961</v>
      </c>
      <c r="AA107" s="33">
        <f>(1+RATE(E107,-F107,0,Z107,1))^12-1</f>
        <v>0.08369635995207325</v>
      </c>
      <c r="AB107" s="34">
        <f>(G107/100-AA107)*100</f>
        <v>0.680364004792676</v>
      </c>
      <c r="AC107" s="34">
        <f>T107+X107+AB107</f>
        <v>1.530364004793046</v>
      </c>
      <c r="AD107" s="24">
        <f>IF(AC107=0,0,ROUND(T107*P107/AC107+1E-9,2))</f>
        <v>0.85</v>
      </c>
      <c r="AE107" s="24">
        <f>IF(AC107=0,0,ROUND(X107*P107/AC107+1E-9,2))</f>
        <v>0</v>
      </c>
      <c r="AF107" s="24">
        <f>IF(AC107=0,0,ROUND(AB107*P107/AC107+1E-9,2))</f>
        <v>0.68</v>
      </c>
      <c r="AG107" s="24">
        <v>0</v>
      </c>
      <c r="AH107" s="35">
        <f>ROUND(AD107+AE107+AF107+AG107+1E-9,2)</f>
        <v>1.53</v>
      </c>
    </row>
    <row r="108" spans="1:34" x14ac:dyDescent="0.25">
      <c r="A108" s="13" t="s">
        <v>126</v>
      </c>
      <c r="B108" s="23">
        <v>4</v>
      </c>
      <c r="C108" s="18">
        <f>IF(ROUND(D108/12,0)&gt;10,CHOOSE(B108,1,5,10,ROUND(D108/12,0)),CHOOSE(B108,1,3,5,ROUND(D108/12,0)))</f>
        <v>20</v>
      </c>
      <c r="D108" s="23">
        <v>240</v>
      </c>
      <c r="E108" s="18">
        <f>C108*12</f>
        <v>240</v>
      </c>
      <c r="F108" s="17">
        <f>INDEX('Fee Switch-Off'!$F$5:$F$30,MATCH($A108,'Fee Switch-Off'!$A$5:$A$30,0))</f>
        <v>2400</v>
      </c>
      <c r="G108" s="32">
        <v>9.05</v>
      </c>
      <c r="H108" s="24">
        <f>IF(ISNUMBER(SEARCH("TFI",INDEX('Fee Switch-Off'!$C$5:$C$30,MATCH($A108,'Fee Switch-Off'!$A$5:$A$30,0)))),Assumptions!$B$8,Assumptions!$B$7)</f>
        <v>0.85</v>
      </c>
      <c r="I108" s="16">
        <f>INDEX('Quote Summary'!$E$5:$E$30,MATCH($A108,'Quote Summary'!$A$5:$A$30,0))</f>
        <v>0</v>
      </c>
      <c r="J108" s="24">
        <f>Assumptions!$B$9</f>
        <v>0.35</v>
      </c>
      <c r="K108" s="16">
        <f>Assumptions!$B$10</f>
        <v>1.725</v>
      </c>
      <c r="L108" s="24">
        <f>Assumptions!$B$11</f>
        <v>0</v>
      </c>
      <c r="M108" s="33">
        <f>(G108-(H108+J108+I108+L108))/100</f>
        <v>0.07850000000000001</v>
      </c>
      <c r="N108" s="17">
        <f>F108*(1-(K108)/100)*(((1+M108)^(E108/12)-1)/((1+M108)^(1/12)-1))*(1+M108)^(1/12)</f>
        <v>1327430.772001238</v>
      </c>
      <c r="O108" s="33">
        <f>(1+RATE(E108,-F108,0,N108,1))^12-1</f>
        <v>0.07699356240541744</v>
      </c>
      <c r="P108" s="34">
        <f>(G108/100-O108)*100</f>
        <v>1.3506437594582574</v>
      </c>
      <c r="Q108" s="33">
        <f>(G108-(H108))/100</f>
        <v>0.08200000000000002</v>
      </c>
      <c r="R108" s="17">
        <f>F108*(1-(0)/100)*(((1+Q108)^(E108/12)-1)/((1+Q108)^(1/12)-1))*(1+Q108)^(1/12)</f>
        <v>1406639.768872738</v>
      </c>
      <c r="S108" s="33">
        <f>(1+RATE(E108,-F108,0,R108,1))^12-1</f>
        <v>0.08200000000000052</v>
      </c>
      <c r="T108" s="34">
        <f>(G108/100-S108)*100</f>
        <v>0.8499999999999495</v>
      </c>
      <c r="U108" s="33">
        <f>(G108-(I108))/100</f>
        <v>0.09050000000000001</v>
      </c>
      <c r="V108" s="17">
        <f>F108*(1-(0)/100)*(((1+U108)^(E108/12)-1)/((1+U108)^(1/12)-1))*(1+U108)^(1/12)</f>
        <v>1553378.1021307125</v>
      </c>
      <c r="W108" s="33">
        <f>(1+RATE(E108,-F108,0,V108,1))^12-1</f>
        <v>0.0904999999999958</v>
      </c>
      <c r="X108" s="34">
        <f>(G108/100-W108)*100</f>
        <v>4.2049697057677804e-13</v>
      </c>
      <c r="Y108" s="33">
        <f>(G108-(J108))/100</f>
        <v>0.08700000000000001</v>
      </c>
      <c r="Z108" s="17">
        <f>F108*(1-(K108)/100)*(((1+Y108)^(E108/12)-1)/((1+Y108)^(1/12)-1))*(1+Y108)^(1/12)</f>
        <v>1465285.8849400294</v>
      </c>
      <c r="AA108" s="33">
        <f>(1+RATE(E108,-F108,0,Z108,1))^12-1</f>
        <v>0.08550950574718996</v>
      </c>
      <c r="AB108" s="34">
        <f>(G108/100-AA108)*100</f>
        <v>0.4990494252810049</v>
      </c>
      <c r="AC108" s="34">
        <f>T108+X108+AB108</f>
        <v>1.349049425281375</v>
      </c>
      <c r="AD108" s="24">
        <f>IF(AC108=0,0,ROUND(T108*P108/AC108+1E-9,2))</f>
        <v>0.85</v>
      </c>
      <c r="AE108" s="24">
        <f>IF(AC108=0,0,ROUND(X108*P108/AC108+1E-9,2))</f>
        <v>0</v>
      </c>
      <c r="AF108" s="24">
        <f>IF(AC108=0,0,ROUND(AB108*P108/AC108+1E-9,2))</f>
        <v>0.5</v>
      </c>
      <c r="AG108" s="24">
        <v>0</v>
      </c>
      <c r="AH108" s="35">
        <f>ROUND(AD108+AE108+AF108+AG108+1E-9,2)</f>
        <v>1.35</v>
      </c>
    </row>
  </sheetData>
  <autoFilter ref="A4:AH10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Assumptions</vt:lpstr>
      <vt:lpstr>Fee Switch-Off</vt:lpstr>
      <vt:lpstr>Process Checks</vt:lpstr>
      <vt:lpstr>Split Fee</vt:lpstr>
      <vt:lpstr>Latency Budget</vt:lpstr>
      <vt:lpstr>Quote Summary</vt:lpstr>
      <vt:lpstr>EAC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Finance Operations</dc:creator>
  <dc:title/>
  <dc:subject/>
  <dc:description/>
  <cp:keywords/>
  <cp:category/>
  <cp:lastModifiedBy>Unknown</cp:lastModifiedBy>
  <dcterms:created xsi:type="dcterms:W3CDTF">2026-08-04T08:00:00Z</dcterms:created>
  <dcterms:modified xsi:type="dcterms:W3CDTF">2026-10-29T09:03:27Z</dcterms:modified>
</cp:coreProperties>
</file>